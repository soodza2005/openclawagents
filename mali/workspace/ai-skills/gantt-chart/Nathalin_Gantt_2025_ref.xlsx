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tt Chart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<sst xmlns="http://schemas.openxmlformats.org/spreadsheetml/2006/main" count="263" uniqueCount="211">
  <si>
    <t>GANTT CHART - NATHALIN 2025</t>
  </si>
  <si>
    <t>WBS</t>
  </si>
  <si>
    <t>TASK</t>
  </si>
  <si>
    <t>START DATE</t>
  </si>
  <si>
    <t>DUE DATE</t>
  </si>
  <si>
    <t>DURATION</t>
  </si>
  <si>
    <t>% DONE</t>
  </si>
  <si>
    <t>MASTER PERIOD: 01/01/2025 - 31/12/2025 (Weekly)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</si>
  <si>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</si>
  <si>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</si>
  <si>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</si>
  <si>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</si>
  <si>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</si>
  <si>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</si>
  <si>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</si>
  <si>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</si>
  <si>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</si>
  <si>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</si>
  <si>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</si>
  <si>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</si>
  <si>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</si>
  <si>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</si>
  <si>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</si>
  <si>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</si>
  <si>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</si>
  <si>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</si>
  <si>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</si>
  <si>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</si>
  <si>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</si>
  <si>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</si>
  <si>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</si>
  <si>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</si>
  <si>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</si>
  <si>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</si>
  <si>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</si>
  <si>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</si>
  <si>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</si>
  <si>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</si>
  <si>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</si>
  <si>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</si>
  <si>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</si>
  <si>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</si>
  <si>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</si>
  <si>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</si>
  <si>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</si>
  <si>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</si>
  <si>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</si>
  <si>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</si>
  <si>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</si>
  <si>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</si>
  <si>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</si>
  <si>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</si>
  <si>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</si>
  <si>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</si>
  <si>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</si>
  <si>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</si>
  <si>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</si>
  <si>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</si>
  <si>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</si>
  <si>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</si>
  <si>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1</t>
  </si>
  <si>
    <t>ReportFinancial</t>
  </si>
  <si>
    <t>1.1</t>
  </si>
  <si>
    <t>Report Month 1</t>
  </si>
  <si>
    <t>1.2</t>
  </si>
  <si>
    <t>Report Month 2</t>
  </si>
  <si>
    <t>1.3</t>
  </si>
  <si>
    <t>Report Month 3</t>
  </si>
  <si>
    <t>1.4</t>
  </si>
  <si>
    <t>Report Month 4</t>
  </si>
  <si>
    <t>1.5</t>
  </si>
  <si>
    <t>Report Month 5</t>
  </si>
  <si>
    <t>2</t>
  </si>
  <si>
    <t>Financial Correction</t>
  </si>
  <si>
    <t>2.1</t>
  </si>
  <si>
    <t>Correction 1</t>
  </si>
  <si>
    <t>2.2</t>
  </si>
  <si>
    <t>Correction 2</t>
  </si>
  <si>
    <t>2.3</t>
  </si>
  <si>
    <t>Correction 3</t>
  </si>
  <si>
    <t>2.4</t>
  </si>
  <si>
    <t>Correction 4</t>
  </si>
  <si>
    <t>3</t>
  </si>
  <si>
    <t>Closeaccount</t>
  </si>
  <si>
    <t>3.1</t>
  </si>
  <si>
    <t>Close Month 1</t>
  </si>
  <si>
    <t>3.2</t>
  </si>
  <si>
    <t>Close Month 2</t>
  </si>
  <si>
    <t>3.3</t>
  </si>
  <si>
    <t>Close Month 3</t>
  </si>
  <si>
    <t>3.4</t>
  </si>
  <si>
    <t>Close Month 4</t>
  </si>
  <si>
    <t>3.5</t>
  </si>
  <si>
    <t>Final Review</t>
  </si>
  <si>
    <t>3.6</t>
  </si>
  <si>
    <t>Complete</t>
  </si>
  <si>
    <t>4</t>
  </si>
  <si>
    <t>SitePlan</t>
  </si>
  <si>
    <t>4.1</t>
  </si>
  <si>
    <t>SitePlan 1</t>
  </si>
  <si>
    <t>4.2</t>
  </si>
  <si>
    <t>SitePlan 2</t>
  </si>
  <si>
    <t>4.3</t>
  </si>
  <si>
    <t>SitePlan 3</t>
  </si>
  <si>
    <t>Week</t>
  </si>
  <si>
    <t>Start</t>
  </si>
  <si>
    <t>End</t>
  </si>
  <si>
    <t>01/01/2025</t>
  </si>
  <si>
    <t>07/01/2025</t>
  </si>
  <si>
    <t>08/01/2025</t>
  </si>
  <si>
    <t>14/01/2025</t>
  </si>
  <si>
    <t>15/01/2025</t>
  </si>
  <si>
    <t>21/01/2025</t>
  </si>
  <si>
    <t>22/01/2025</t>
  </si>
  <si>
    <t>28/01/2025</t>
  </si>
  <si>
    <t>29/01/2025</t>
  </si>
  <si>
    <t>04/02/2025</t>
  </si>
  <si>
    <t>05/02/2025</t>
  </si>
  <si>
    <t>11/02/2025</t>
  </si>
  <si>
    <t>12/02/2025</t>
  </si>
  <si>
    <t>18/02/2025</t>
  </si>
  <si>
    <t>19/02/2025</t>
  </si>
  <si>
    <t>25/02/2025</t>
  </si>
  <si>
    <t>26/02/2025</t>
  </si>
  <si>
    <t>04/03/2025</t>
  </si>
  <si>
    <t>05/03/2025</t>
  </si>
  <si>
    <t>11/03/2025</t>
  </si>
  <si>
    <t>12/03/2025</t>
  </si>
  <si>
    <t>18/03/2025</t>
  </si>
  <si>
    <t>19/03/2025</t>
  </si>
  <si>
    <t>25/03/2025</t>
  </si>
  <si>
    <t>26/03/2025</t>
  </si>
  <si>
    <t>01/04/2025</t>
  </si>
  <si>
    <t>02/04/2025</t>
  </si>
  <si>
    <t>08/04/2025</t>
  </si>
  <si>
    <t>09/04/2025</t>
  </si>
  <si>
    <t>15/04/2025</t>
  </si>
  <si>
    <t>16/04/2025</t>
  </si>
  <si>
    <t>22/04/2025</t>
  </si>
  <si>
    <t>23/04/2025</t>
  </si>
  <si>
    <t>29/04/2025</t>
  </si>
  <si>
    <t>30/04/2025</t>
  </si>
  <si>
    <t>06/05/2025</t>
  </si>
  <si>
    <t>07/05/2025</t>
  </si>
  <si>
    <t>13/05/2025</t>
  </si>
  <si>
    <t>14/05/2025</t>
  </si>
  <si>
    <t>20/05/2025</t>
  </si>
  <si>
    <t>21/05/2025</t>
  </si>
  <si>
    <t>27/05/2025</t>
  </si>
  <si>
    <t>28/05/2025</t>
  </si>
  <si>
    <t>03/06/2025</t>
  </si>
  <si>
    <t>04/06/2025</t>
  </si>
  <si>
    <t>10/06/2025</t>
  </si>
  <si>
    <t>11/06/2025</t>
  </si>
  <si>
    <t>17/06/2025</t>
  </si>
  <si>
    <t>18/06/2025</t>
  </si>
  <si>
    <t>24/06/2025</t>
  </si>
  <si>
    <t>25/06/2025</t>
  </si>
  <si>
    <t>01/07/2025</t>
  </si>
  <si>
    <t>02/07/2025</t>
  </si>
  <si>
    <t>08/07/2025</t>
  </si>
  <si>
    <t>09/07/2025</t>
  </si>
  <si>
    <t>15/07/2025</t>
  </si>
  <si>
    <t>16/07/2025</t>
  </si>
  <si>
    <t>22/07/2025</t>
  </si>
  <si>
    <t>23/07/2025</t>
  </si>
  <si>
    <t>29/07/2025</t>
  </si>
  <si>
    <t>30/07/2025</t>
  </si>
  <si>
    <t>05/08/2025</t>
  </si>
  <si>
    <t>06/08/2025</t>
  </si>
  <si>
    <t>12/08/2025</t>
  </si>
  <si>
    <t>13/08/2025</t>
  </si>
  <si>
    <t>19/08/2025</t>
  </si>
  <si>
    <t>20/08/2025</t>
  </si>
  <si>
    <t>26/08/2025</t>
  </si>
  <si>
    <t>27/08/2025</t>
  </si>
  <si>
    <t>02/09/2025</t>
  </si>
  <si>
    <t>03/09/2025</t>
  </si>
  <si>
    <t>09/09/2025</t>
  </si>
  <si>
    <t>10/09/2025</t>
  </si>
  <si>
    <t>16/09/2025</t>
  </si>
  <si>
    <t>17/09/2025</t>
  </si>
  <si>
    <t>23/09/2025</t>
  </si>
  <si>
    <t>24/09/2025</t>
  </si>
  <si>
    <t>30/09/2025</t>
  </si>
  <si>
    <t>01/10/2025</t>
  </si>
  <si>
    <t>07/10/2025</t>
  </si>
  <si>
    <t>08/10/2025</t>
  </si>
  <si>
    <t>14/10/2025</t>
  </si>
  <si>
    <t>15/10/2025</t>
  </si>
  <si>
    <t>21/10/2025</t>
  </si>
  <si>
    <t>22/10/2025</t>
  </si>
  <si>
    <t>28/10/2025</t>
  </si>
  <si>
    <t>29/10/2025</t>
  </si>
  <si>
    <t>04/11/2025</t>
  </si>
  <si>
    <t>05/11/2025</t>
  </si>
  <si>
    <t>11/11/2025</t>
  </si>
  <si>
    <t>12/11/2025</t>
  </si>
  <si>
    <t>18/11/2025</t>
  </si>
  <si>
    <t>19/11/2025</t>
  </si>
  <si>
    <t>25/11/2025</t>
  </si>
  <si>
    <t>26/11/2025</t>
  </si>
  <si>
    <t>02/12/2025</t>
  </si>
  <si>
    <t>03/12/2025</t>
  </si>
  <si>
    <t>09/12/2025</t>
  </si>
  <si>
    <t>10/12/2025</t>
  </si>
  <si>
    <t>16/12/2025</t>
  </si>
  <si>
    <t>17/12/2025</t>
  </si>
  <si>
    <t>23/12/2025</t>
  </si>
  <si>
    <t>24/12/2025</t>
  </si>
  <si>
    <t>30/12/2025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</si>
</sst>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9"/>
  <sheetViews>
    <sheetView tabSelected="1" workbookViewId="0"/>
  </sheetViews>
  <sheetFormatPr defaultRowHeight="15"/>
  <cols>
    <col min="1" max="1" width="8.7109375" customWidth="1"/>
    <col min="2" max="2" width="25.7109375" customWidth="1"/>
    <col min="3" max="4" width="12.7109375" customWidth="1"/>
    <col min="5" max="6" width="10.7109375" customWidth="1"/>
    <col min="8" max="59" width="2.7109375" customWidth="1"/>
  </cols>
  <sheetData>
    <row r="1" spans="1:81" ht="25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1">
      <c r="H3" s="2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  <c r="AV4" s="3" t="s">
        <v>48</v>
      </c>
      <c r="AW4" s="3" t="s">
        <v>49</v>
      </c>
      <c r="AX4" s="3" t="s">
        <v>50</v>
      </c>
      <c r="AY4" s="3" t="s">
        <v>51</v>
      </c>
      <c r="AZ4" s="3" t="s">
        <v>52</v>
      </c>
      <c r="BA4" s="3" t="s">
        <v>53</v>
      </c>
      <c r="BB4" s="3" t="s">
        <v>54</v>
      </c>
      <c r="BC4" s="3" t="s">
        <v>55</v>
      </c>
      <c r="BD4" s="3" t="s">
        <v>56</v>
      </c>
      <c r="BE4" s="3" t="s">
        <v>57</v>
      </c>
      <c r="BF4" s="3" t="s">
        <v>58</v>
      </c>
      <c r="BG4" s="3" t="s">
        <v>59</v>
      </c>
    </row>
    <row r="5" spans="1:81">
      <c r="A5" s="4" t="s">
        <v>60</v>
      </c>
      <c r="B5" s="4" t="s">
        <v>61</v>
      </c>
      <c r="C5" s="5">
        <v>45658</v>
      </c>
      <c r="D5" s="5">
        <v>45808</v>
      </c>
      <c r="E5" s="5">
        <f>D5-C5+1</f>
        <v>0</v>
      </c>
      <c r="F5" s="5">
        <v>0</v>
      </c>
      <c r="H5" s="6">
        <f>IF(AND(C5&lt;=DATE(2025,1,7+6),D5&gt;=DATE(2025,1,1)),"█","")</f>
        <v>0</v>
      </c>
      <c r="I5" s="6">
        <f>IF(AND(C5&lt;=DATE(2025,1,14+6),D5&gt;=DATE(2025,1,8)),"█","")</f>
        <v>0</v>
      </c>
      <c r="J5" s="6">
        <f>IF(AND(C5&lt;=DATE(2025,1,21+6),D5&gt;=DATE(2025,1,15)),"█","")</f>
        <v>0</v>
      </c>
      <c r="K5" s="6">
        <f>IF(AND(C5&lt;=DATE(2025,1,28+6),D5&gt;=DATE(2025,1,22)),"█","")</f>
        <v>0</v>
      </c>
      <c r="L5" s="6">
        <f>IF(AND(C5&lt;=DATE(2025,2,4+6),D5&gt;=DATE(2025,1,29)),"█","")</f>
        <v>0</v>
      </c>
      <c r="M5" s="6">
        <f>IF(AND(C5&lt;=DATE(2025,2,11+6),D5&gt;=DATE(2025,2,5)),"█","")</f>
        <v>0</v>
      </c>
      <c r="N5" s="6">
        <f>IF(AND(C5&lt;=DATE(2025,2,18+6),D5&gt;=DATE(2025,2,12)),"█","")</f>
        <v>0</v>
      </c>
      <c r="O5" s="6">
        <f>IF(AND(C5&lt;=DATE(2025,2,25+6),D5&gt;=DATE(2025,2,19)),"█","")</f>
        <v>0</v>
      </c>
      <c r="P5" s="6">
        <f>IF(AND(C5&lt;=DATE(2025,3,4+6),D5&gt;=DATE(2025,2,26)),"█","")</f>
        <v>0</v>
      </c>
      <c r="Q5" s="6">
        <f>IF(AND(C5&lt;=DATE(2025,3,11+6),D5&gt;=DATE(2025,3,5)),"█","")</f>
        <v>0</v>
      </c>
      <c r="R5" s="6">
        <f>IF(AND(C5&lt;=DATE(2025,3,18+6),D5&gt;=DATE(2025,3,12)),"█","")</f>
        <v>0</v>
      </c>
      <c r="S5" s="6">
        <f>IF(AND(C5&lt;=DATE(2025,3,25+6),D5&gt;=DATE(2025,3,19)),"█","")</f>
        <v>0</v>
      </c>
      <c r="T5" s="6">
        <f>IF(AND(C5&lt;=DATE(2025,4,1+6),D5&gt;=DATE(2025,3,26)),"█","")</f>
        <v>0</v>
      </c>
      <c r="U5" s="6">
        <f>IF(AND(C5&lt;=DATE(2025,4,8+6),D5&gt;=DATE(2025,4,2)),"█","")</f>
        <v>0</v>
      </c>
      <c r="V5" s="6">
        <f>IF(AND(C5&lt;=DATE(2025,4,15+6),D5&gt;=DATE(2025,4,9)),"█","")</f>
        <v>0</v>
      </c>
      <c r="W5" s="6">
        <f>IF(AND(C5&lt;=DATE(2025,4,22+6),D5&gt;=DATE(2025,4,16)),"█","")</f>
        <v>0</v>
      </c>
      <c r="X5" s="6">
        <f>IF(AND(C5&lt;=DATE(2025,4,29+6),D5&gt;=DATE(2025,4,23)),"█","")</f>
        <v>0</v>
      </c>
      <c r="Y5" s="6">
        <f>IF(AND(C5&lt;=DATE(2025,5,6+6),D5&gt;=DATE(2025,4,30)),"█","")</f>
        <v>0</v>
      </c>
      <c r="Z5" s="6">
        <f>IF(AND(C5&lt;=DATE(2025,5,13+6),D5&gt;=DATE(2025,5,7)),"█","")</f>
        <v>0</v>
      </c>
      <c r="AA5" s="6">
        <f>IF(AND(C5&lt;=DATE(2025,5,20+6),D5&gt;=DATE(2025,5,14)),"█","")</f>
        <v>0</v>
      </c>
      <c r="AB5" s="6">
        <f>IF(AND(C5&lt;=DATE(2025,5,27+6),D5&gt;=DATE(2025,5,21)),"█","")</f>
        <v>0</v>
      </c>
      <c r="AC5" s="6">
        <f>IF(AND(C5&lt;=DATE(2025,6,3+6),D5&gt;=DATE(2025,5,28)),"█","")</f>
        <v>0</v>
      </c>
      <c r="AD5" s="6">
        <f>IF(AND(C5&lt;=DATE(2025,6,10+6),D5&gt;=DATE(2025,6,4)),"█","")</f>
        <v>0</v>
      </c>
      <c r="AE5" s="6">
        <f>IF(AND(C5&lt;=DATE(2025,6,17+6),D5&gt;=DATE(2025,6,11)),"█","")</f>
        <v>0</v>
      </c>
      <c r="AF5" s="6">
        <f>IF(AND(C5&lt;=DATE(2025,6,24+6),D5&gt;=DATE(2025,6,18)),"█","")</f>
        <v>0</v>
      </c>
      <c r="AG5" s="6">
        <f>IF(AND(C5&lt;=DATE(2025,7,1+6),D5&gt;=DATE(2025,6,25)),"█","")</f>
        <v>0</v>
      </c>
      <c r="AH5" s="6">
        <f>IF(AND(C5&lt;=DATE(2025,7,8+6),D5&gt;=DATE(2025,7,2)),"█","")</f>
        <v>0</v>
      </c>
      <c r="AI5" s="6">
        <f>IF(AND(C5&lt;=DATE(2025,7,15+6),D5&gt;=DATE(2025,7,9)),"█","")</f>
        <v>0</v>
      </c>
      <c r="AJ5" s="6">
        <f>IF(AND(C5&lt;=DATE(2025,7,22+6),D5&gt;=DATE(2025,7,16)),"█","")</f>
        <v>0</v>
      </c>
      <c r="AK5" s="6">
        <f>IF(AND(C5&lt;=DATE(2025,7,29+6),D5&gt;=DATE(2025,7,23)),"█","")</f>
        <v>0</v>
      </c>
      <c r="AL5" s="6">
        <f>IF(AND(C5&lt;=DATE(2025,8,5+6),D5&gt;=DATE(2025,7,30)),"█","")</f>
        <v>0</v>
      </c>
      <c r="AM5" s="6">
        <f>IF(AND(C5&lt;=DATE(2025,8,12+6),D5&gt;=DATE(2025,8,6)),"█","")</f>
        <v>0</v>
      </c>
      <c r="AN5" s="6">
        <f>IF(AND(C5&lt;=DATE(2025,8,19+6),D5&gt;=DATE(2025,8,13)),"█","")</f>
        <v>0</v>
      </c>
      <c r="AO5" s="6">
        <f>IF(AND(C5&lt;=DATE(2025,8,26+6),D5&gt;=DATE(2025,8,20)),"█","")</f>
        <v>0</v>
      </c>
      <c r="AP5" s="6">
        <f>IF(AND(C5&lt;=DATE(2025,9,2+6),D5&gt;=DATE(2025,8,27)),"█","")</f>
        <v>0</v>
      </c>
      <c r="AQ5" s="6">
        <f>IF(AND(C5&lt;=DATE(2025,9,9+6),D5&gt;=DATE(2025,9,3)),"█","")</f>
        <v>0</v>
      </c>
      <c r="AR5" s="6">
        <f>IF(AND(C5&lt;=DATE(2025,9,16+6),D5&gt;=DATE(2025,9,10)),"█","")</f>
        <v>0</v>
      </c>
      <c r="AS5" s="6">
        <f>IF(AND(C5&lt;=DATE(2025,9,23+6),D5&gt;=DATE(2025,9,17)),"█","")</f>
        <v>0</v>
      </c>
      <c r="AT5" s="6">
        <f>IF(AND(C5&lt;=DATE(2025,9,30+6),D5&gt;=DATE(2025,9,24)),"█","")</f>
        <v>0</v>
      </c>
      <c r="AU5" s="6">
        <f>IF(AND(C5&lt;=DATE(2025,10,7+6),D5&gt;=DATE(2025,10,1)),"█","")</f>
        <v>0</v>
      </c>
      <c r="AV5" s="6">
        <f>IF(AND(C5&lt;=DATE(2025,10,14+6),D5&gt;=DATE(2025,10,8)),"█","")</f>
        <v>0</v>
      </c>
      <c r="AW5" s="6">
        <f>IF(AND(C5&lt;=DATE(2025,10,21+6),D5&gt;=DATE(2025,10,15)),"█","")</f>
        <v>0</v>
      </c>
      <c r="AX5" s="6">
        <f>IF(AND(C5&lt;=DATE(2025,10,28+6),D5&gt;=DATE(2025,10,22)),"█","")</f>
        <v>0</v>
      </c>
      <c r="AY5" s="6">
        <f>IF(AND(C5&lt;=DATE(2025,11,4+6),D5&gt;=DATE(2025,10,29)),"█","")</f>
        <v>0</v>
      </c>
      <c r="AZ5" s="6">
        <f>IF(AND(C5&lt;=DATE(2025,11,11+6),D5&gt;=DATE(2025,11,5)),"█","")</f>
        <v>0</v>
      </c>
      <c r="BA5" s="6">
        <f>IF(AND(C5&lt;=DATE(2025,11,18+6),D5&gt;=DATE(2025,11,12)),"█","")</f>
        <v>0</v>
      </c>
      <c r="BB5" s="6">
        <f>IF(AND(C5&lt;=DATE(2025,11,25+6),D5&gt;=DATE(2025,11,19)),"█","")</f>
        <v>0</v>
      </c>
      <c r="BC5" s="6">
        <f>IF(AND(C5&lt;=DATE(2025,12,2+6),D5&gt;=DATE(2025,11,26)),"█","")</f>
        <v>0</v>
      </c>
      <c r="BD5" s="6">
        <f>IF(AND(C5&lt;=DATE(2025,12,9+6),D5&gt;=DATE(2025,12,3)),"█","")</f>
        <v>0</v>
      </c>
      <c r="BE5" s="6">
        <f>IF(AND(C5&lt;=DATE(2025,12,16+6),D5&gt;=DATE(2025,12,10)),"█","")</f>
        <v>0</v>
      </c>
      <c r="BF5" s="6">
        <f>IF(AND(C5&lt;=DATE(2025,12,23+6),D5&gt;=DATE(2025,12,17)),"█","")</f>
        <v>0</v>
      </c>
      <c r="BG5" s="6">
        <f>IF(AND(C5&lt;=DATE(2025,12,30+6),D5&gt;=DATE(2025,12,24)),"█","")</f>
        <v>0</v>
      </c>
    </row>
    <row r="6" spans="1:81">
      <c r="A6" s="5" t="s">
        <v>62</v>
      </c>
      <c r="B6" s="5" t="s">
        <v>63</v>
      </c>
      <c r="C6" s="5">
        <v>45658</v>
      </c>
      <c r="D6" s="5">
        <v>45688</v>
      </c>
      <c r="E6" s="5">
        <f>D6-C6+1</f>
        <v>0</v>
      </c>
      <c r="F6" s="5">
        <v>100</v>
      </c>
      <c r="H6" s="7">
        <f>IF(AND(C6&lt;=DATE(2025,1,7+6),D6&gt;=DATE(2025,1,1)),"█","")</f>
        <v>0</v>
      </c>
      <c r="I6" s="7">
        <f>IF(AND(C6&lt;=DATE(2025,1,14+6),D6&gt;=DATE(2025,1,8)),"█","")</f>
        <v>0</v>
      </c>
      <c r="J6" s="7">
        <f>IF(AND(C6&lt;=DATE(2025,1,21+6),D6&gt;=DATE(2025,1,15)),"█","")</f>
        <v>0</v>
      </c>
      <c r="K6" s="7">
        <f>IF(AND(C6&lt;=DATE(2025,1,28+6),D6&gt;=DATE(2025,1,22)),"█","")</f>
        <v>0</v>
      </c>
      <c r="L6" s="7">
        <f>IF(AND(C6&lt;=DATE(2025,2,4+6),D6&gt;=DATE(2025,1,29)),"█","")</f>
        <v>0</v>
      </c>
      <c r="M6" s="7">
        <f>IF(AND(C6&lt;=DATE(2025,2,11+6),D6&gt;=DATE(2025,2,5)),"█","")</f>
        <v>0</v>
      </c>
      <c r="N6" s="7">
        <f>IF(AND(C6&lt;=DATE(2025,2,18+6),D6&gt;=DATE(2025,2,12)),"█","")</f>
        <v>0</v>
      </c>
      <c r="O6" s="7">
        <f>IF(AND(C6&lt;=DATE(2025,2,25+6),D6&gt;=DATE(2025,2,19)),"█","")</f>
        <v>0</v>
      </c>
      <c r="P6" s="7">
        <f>IF(AND(C6&lt;=DATE(2025,3,4+6),D6&gt;=DATE(2025,2,26)),"█","")</f>
        <v>0</v>
      </c>
      <c r="Q6" s="7">
        <f>IF(AND(C6&lt;=DATE(2025,3,11+6),D6&gt;=DATE(2025,3,5)),"█","")</f>
        <v>0</v>
      </c>
      <c r="R6" s="7">
        <f>IF(AND(C6&lt;=DATE(2025,3,18+6),D6&gt;=DATE(2025,3,12)),"█","")</f>
        <v>0</v>
      </c>
      <c r="S6" s="7">
        <f>IF(AND(C6&lt;=DATE(2025,3,25+6),D6&gt;=DATE(2025,3,19)),"█","")</f>
        <v>0</v>
      </c>
      <c r="T6" s="7">
        <f>IF(AND(C6&lt;=DATE(2025,4,1+6),D6&gt;=DATE(2025,3,26)),"█","")</f>
        <v>0</v>
      </c>
      <c r="U6" s="7">
        <f>IF(AND(C6&lt;=DATE(2025,4,8+6),D6&gt;=DATE(2025,4,2)),"█","")</f>
        <v>0</v>
      </c>
      <c r="V6" s="7">
        <f>IF(AND(C6&lt;=DATE(2025,4,15+6),D6&gt;=DATE(2025,4,9)),"█","")</f>
        <v>0</v>
      </c>
      <c r="W6" s="7">
        <f>IF(AND(C6&lt;=DATE(2025,4,22+6),D6&gt;=DATE(2025,4,16)),"█","")</f>
        <v>0</v>
      </c>
      <c r="X6" s="7">
        <f>IF(AND(C6&lt;=DATE(2025,4,29+6),D6&gt;=DATE(2025,4,23)),"█","")</f>
        <v>0</v>
      </c>
      <c r="Y6" s="7">
        <f>IF(AND(C6&lt;=DATE(2025,5,6+6),D6&gt;=DATE(2025,4,30)),"█","")</f>
        <v>0</v>
      </c>
      <c r="Z6" s="7">
        <f>IF(AND(C6&lt;=DATE(2025,5,13+6),D6&gt;=DATE(2025,5,7)),"█","")</f>
        <v>0</v>
      </c>
      <c r="AA6" s="7">
        <f>IF(AND(C6&lt;=DATE(2025,5,20+6),D6&gt;=DATE(2025,5,14)),"█","")</f>
        <v>0</v>
      </c>
      <c r="AB6" s="7">
        <f>IF(AND(C6&lt;=DATE(2025,5,27+6),D6&gt;=DATE(2025,5,21)),"█","")</f>
        <v>0</v>
      </c>
      <c r="AC6" s="7">
        <f>IF(AND(C6&lt;=DATE(2025,6,3+6),D6&gt;=DATE(2025,5,28)),"█","")</f>
        <v>0</v>
      </c>
      <c r="AD6" s="7">
        <f>IF(AND(C6&lt;=DATE(2025,6,10+6),D6&gt;=DATE(2025,6,4)),"█","")</f>
        <v>0</v>
      </c>
      <c r="AE6" s="7">
        <f>IF(AND(C6&lt;=DATE(2025,6,17+6),D6&gt;=DATE(2025,6,11)),"█","")</f>
        <v>0</v>
      </c>
      <c r="AF6" s="7">
        <f>IF(AND(C6&lt;=DATE(2025,6,24+6),D6&gt;=DATE(2025,6,18)),"█","")</f>
        <v>0</v>
      </c>
      <c r="AG6" s="7">
        <f>IF(AND(C6&lt;=DATE(2025,7,1+6),D6&gt;=DATE(2025,6,25)),"█","")</f>
        <v>0</v>
      </c>
      <c r="AH6" s="7">
        <f>IF(AND(C6&lt;=DATE(2025,7,8+6),D6&gt;=DATE(2025,7,2)),"█","")</f>
        <v>0</v>
      </c>
      <c r="AI6" s="7">
        <f>IF(AND(C6&lt;=DATE(2025,7,15+6),D6&gt;=DATE(2025,7,9)),"█","")</f>
        <v>0</v>
      </c>
      <c r="AJ6" s="7">
        <f>IF(AND(C6&lt;=DATE(2025,7,22+6),D6&gt;=DATE(2025,7,16)),"█","")</f>
        <v>0</v>
      </c>
      <c r="AK6" s="7">
        <f>IF(AND(C6&lt;=DATE(2025,7,29+6),D6&gt;=DATE(2025,7,23)),"█","")</f>
        <v>0</v>
      </c>
      <c r="AL6" s="7">
        <f>IF(AND(C6&lt;=DATE(2025,8,5+6),D6&gt;=DATE(2025,7,30)),"█","")</f>
        <v>0</v>
      </c>
      <c r="AM6" s="7">
        <f>IF(AND(C6&lt;=DATE(2025,8,12+6),D6&gt;=DATE(2025,8,6)),"█","")</f>
        <v>0</v>
      </c>
      <c r="AN6" s="7">
        <f>IF(AND(C6&lt;=DATE(2025,8,19+6),D6&gt;=DATE(2025,8,13)),"█","")</f>
        <v>0</v>
      </c>
      <c r="AO6" s="7">
        <f>IF(AND(C6&lt;=DATE(2025,8,26+6),D6&gt;=DATE(2025,8,20)),"█","")</f>
        <v>0</v>
      </c>
      <c r="AP6" s="7">
        <f>IF(AND(C6&lt;=DATE(2025,9,2+6),D6&gt;=DATE(2025,8,27)),"█","")</f>
        <v>0</v>
      </c>
      <c r="AQ6" s="7">
        <f>IF(AND(C6&lt;=DATE(2025,9,9+6),D6&gt;=DATE(2025,9,3)),"█","")</f>
        <v>0</v>
      </c>
      <c r="AR6" s="7">
        <f>IF(AND(C6&lt;=DATE(2025,9,16+6),D6&gt;=DATE(2025,9,10)),"█","")</f>
        <v>0</v>
      </c>
      <c r="AS6" s="7">
        <f>IF(AND(C6&lt;=DATE(2025,9,23+6),D6&gt;=DATE(2025,9,17)),"█","")</f>
        <v>0</v>
      </c>
      <c r="AT6" s="7">
        <f>IF(AND(C6&lt;=DATE(2025,9,30+6),D6&gt;=DATE(2025,9,24)),"█","")</f>
        <v>0</v>
      </c>
      <c r="AU6" s="7">
        <f>IF(AND(C6&lt;=DATE(2025,10,7+6),D6&gt;=DATE(2025,10,1)),"█","")</f>
        <v>0</v>
      </c>
      <c r="AV6" s="7">
        <f>IF(AND(C6&lt;=DATE(2025,10,14+6),D6&gt;=DATE(2025,10,8)),"█","")</f>
        <v>0</v>
      </c>
      <c r="AW6" s="7">
        <f>IF(AND(C6&lt;=DATE(2025,10,21+6),D6&gt;=DATE(2025,10,15)),"█","")</f>
        <v>0</v>
      </c>
      <c r="AX6" s="7">
        <f>IF(AND(C6&lt;=DATE(2025,10,28+6),D6&gt;=DATE(2025,10,22)),"█","")</f>
        <v>0</v>
      </c>
      <c r="AY6" s="7">
        <f>IF(AND(C6&lt;=DATE(2025,11,4+6),D6&gt;=DATE(2025,10,29)),"█","")</f>
        <v>0</v>
      </c>
      <c r="AZ6" s="7">
        <f>IF(AND(C6&lt;=DATE(2025,11,11+6),D6&gt;=DATE(2025,11,5)),"█","")</f>
        <v>0</v>
      </c>
      <c r="BA6" s="7">
        <f>IF(AND(C6&lt;=DATE(2025,11,18+6),D6&gt;=DATE(2025,11,12)),"█","")</f>
        <v>0</v>
      </c>
      <c r="BB6" s="7">
        <f>IF(AND(C6&lt;=DATE(2025,11,25+6),D6&gt;=DATE(2025,11,19)),"█","")</f>
        <v>0</v>
      </c>
      <c r="BC6" s="7">
        <f>IF(AND(C6&lt;=DATE(2025,12,2+6),D6&gt;=DATE(2025,11,26)),"█","")</f>
        <v>0</v>
      </c>
      <c r="BD6" s="7">
        <f>IF(AND(C6&lt;=DATE(2025,12,9+6),D6&gt;=DATE(2025,12,3)),"█","")</f>
        <v>0</v>
      </c>
      <c r="BE6" s="7">
        <f>IF(AND(C6&lt;=DATE(2025,12,16+6),D6&gt;=DATE(2025,12,10)),"█","")</f>
        <v>0</v>
      </c>
      <c r="BF6" s="7">
        <f>IF(AND(C6&lt;=DATE(2025,12,23+6),D6&gt;=DATE(2025,12,17)),"█","")</f>
        <v>0</v>
      </c>
      <c r="BG6" s="7">
        <f>IF(AND(C6&lt;=DATE(2025,12,30+6),D6&gt;=DATE(2025,12,24)),"█","")</f>
        <v>0</v>
      </c>
    </row>
    <row r="7" spans="1:81">
      <c r="A7" s="5" t="s">
        <v>64</v>
      </c>
      <c r="B7" s="5" t="s">
        <v>65</v>
      </c>
      <c r="C7" s="5">
        <v>45689</v>
      </c>
      <c r="D7" s="5">
        <v>45716</v>
      </c>
      <c r="E7" s="5">
        <f>D7-C7+1</f>
        <v>0</v>
      </c>
      <c r="F7" s="5">
        <v>80</v>
      </c>
      <c r="H7" s="7">
        <f>IF(AND(C7&lt;=DATE(2025,1,7+6),D7&gt;=DATE(2025,1,1)),"█","")</f>
        <v>0</v>
      </c>
      <c r="I7" s="7">
        <f>IF(AND(C7&lt;=DATE(2025,1,14+6),D7&gt;=DATE(2025,1,8)),"█","")</f>
        <v>0</v>
      </c>
      <c r="J7" s="7">
        <f>IF(AND(C7&lt;=DATE(2025,1,21+6),D7&gt;=DATE(2025,1,15)),"█","")</f>
        <v>0</v>
      </c>
      <c r="K7" s="7">
        <f>IF(AND(C7&lt;=DATE(2025,1,28+6),D7&gt;=DATE(2025,1,22)),"█","")</f>
        <v>0</v>
      </c>
      <c r="L7" s="7">
        <f>IF(AND(C7&lt;=DATE(2025,2,4+6),D7&gt;=DATE(2025,1,29)),"█","")</f>
        <v>0</v>
      </c>
      <c r="M7" s="7">
        <f>IF(AND(C7&lt;=DATE(2025,2,11+6),D7&gt;=DATE(2025,2,5)),"█","")</f>
        <v>0</v>
      </c>
      <c r="N7" s="7">
        <f>IF(AND(C7&lt;=DATE(2025,2,18+6),D7&gt;=DATE(2025,2,12)),"█","")</f>
        <v>0</v>
      </c>
      <c r="O7" s="7">
        <f>IF(AND(C7&lt;=DATE(2025,2,25+6),D7&gt;=DATE(2025,2,19)),"█","")</f>
        <v>0</v>
      </c>
      <c r="P7" s="7">
        <f>IF(AND(C7&lt;=DATE(2025,3,4+6),D7&gt;=DATE(2025,2,26)),"█","")</f>
        <v>0</v>
      </c>
      <c r="Q7" s="7">
        <f>IF(AND(C7&lt;=DATE(2025,3,11+6),D7&gt;=DATE(2025,3,5)),"█","")</f>
        <v>0</v>
      </c>
      <c r="R7" s="7">
        <f>IF(AND(C7&lt;=DATE(2025,3,18+6),D7&gt;=DATE(2025,3,12)),"█","")</f>
        <v>0</v>
      </c>
      <c r="S7" s="7">
        <f>IF(AND(C7&lt;=DATE(2025,3,25+6),D7&gt;=DATE(2025,3,19)),"█","")</f>
        <v>0</v>
      </c>
      <c r="T7" s="7">
        <f>IF(AND(C7&lt;=DATE(2025,4,1+6),D7&gt;=DATE(2025,3,26)),"█","")</f>
        <v>0</v>
      </c>
      <c r="U7" s="7">
        <f>IF(AND(C7&lt;=DATE(2025,4,8+6),D7&gt;=DATE(2025,4,2)),"█","")</f>
        <v>0</v>
      </c>
      <c r="V7" s="7">
        <f>IF(AND(C7&lt;=DATE(2025,4,15+6),D7&gt;=DATE(2025,4,9)),"█","")</f>
        <v>0</v>
      </c>
      <c r="W7" s="7">
        <f>IF(AND(C7&lt;=DATE(2025,4,22+6),D7&gt;=DATE(2025,4,16)),"█","")</f>
        <v>0</v>
      </c>
      <c r="X7" s="7">
        <f>IF(AND(C7&lt;=DATE(2025,4,29+6),D7&gt;=DATE(2025,4,23)),"█","")</f>
        <v>0</v>
      </c>
      <c r="Y7" s="7">
        <f>IF(AND(C7&lt;=DATE(2025,5,6+6),D7&gt;=DATE(2025,4,30)),"█","")</f>
        <v>0</v>
      </c>
      <c r="Z7" s="7">
        <f>IF(AND(C7&lt;=DATE(2025,5,13+6),D7&gt;=DATE(2025,5,7)),"█","")</f>
        <v>0</v>
      </c>
      <c r="AA7" s="7">
        <f>IF(AND(C7&lt;=DATE(2025,5,20+6),D7&gt;=DATE(2025,5,14)),"█","")</f>
        <v>0</v>
      </c>
      <c r="AB7" s="7">
        <f>IF(AND(C7&lt;=DATE(2025,5,27+6),D7&gt;=DATE(2025,5,21)),"█","")</f>
        <v>0</v>
      </c>
      <c r="AC7" s="7">
        <f>IF(AND(C7&lt;=DATE(2025,6,3+6),D7&gt;=DATE(2025,5,28)),"█","")</f>
        <v>0</v>
      </c>
      <c r="AD7" s="7">
        <f>IF(AND(C7&lt;=DATE(2025,6,10+6),D7&gt;=DATE(2025,6,4)),"█","")</f>
        <v>0</v>
      </c>
      <c r="AE7" s="7">
        <f>IF(AND(C7&lt;=DATE(2025,6,17+6),D7&gt;=DATE(2025,6,11)),"█","")</f>
        <v>0</v>
      </c>
      <c r="AF7" s="7">
        <f>IF(AND(C7&lt;=DATE(2025,6,24+6),D7&gt;=DATE(2025,6,18)),"█","")</f>
        <v>0</v>
      </c>
      <c r="AG7" s="7">
        <f>IF(AND(C7&lt;=DATE(2025,7,1+6),D7&gt;=DATE(2025,6,25)),"█","")</f>
        <v>0</v>
      </c>
      <c r="AH7" s="7">
        <f>IF(AND(C7&lt;=DATE(2025,7,8+6),D7&gt;=DATE(2025,7,2)),"█","")</f>
        <v>0</v>
      </c>
      <c r="AI7" s="7">
        <f>IF(AND(C7&lt;=DATE(2025,7,15+6),D7&gt;=DATE(2025,7,9)),"█","")</f>
        <v>0</v>
      </c>
      <c r="AJ7" s="7">
        <f>IF(AND(C7&lt;=DATE(2025,7,22+6),D7&gt;=DATE(2025,7,16)),"█","")</f>
        <v>0</v>
      </c>
      <c r="AK7" s="7">
        <f>IF(AND(C7&lt;=DATE(2025,7,29+6),D7&gt;=DATE(2025,7,23)),"█","")</f>
        <v>0</v>
      </c>
      <c r="AL7" s="7">
        <f>IF(AND(C7&lt;=DATE(2025,8,5+6),D7&gt;=DATE(2025,7,30)),"█","")</f>
        <v>0</v>
      </c>
      <c r="AM7" s="7">
        <f>IF(AND(C7&lt;=DATE(2025,8,12+6),D7&gt;=DATE(2025,8,6)),"█","")</f>
        <v>0</v>
      </c>
      <c r="AN7" s="7">
        <f>IF(AND(C7&lt;=DATE(2025,8,19+6),D7&gt;=DATE(2025,8,13)),"█","")</f>
        <v>0</v>
      </c>
      <c r="AO7" s="7">
        <f>IF(AND(C7&lt;=DATE(2025,8,26+6),D7&gt;=DATE(2025,8,20)),"█","")</f>
        <v>0</v>
      </c>
      <c r="AP7" s="7">
        <f>IF(AND(C7&lt;=DATE(2025,9,2+6),D7&gt;=DATE(2025,8,27)),"█","")</f>
        <v>0</v>
      </c>
      <c r="AQ7" s="7">
        <f>IF(AND(C7&lt;=DATE(2025,9,9+6),D7&gt;=DATE(2025,9,3)),"█","")</f>
        <v>0</v>
      </c>
      <c r="AR7" s="7">
        <f>IF(AND(C7&lt;=DATE(2025,9,16+6),D7&gt;=DATE(2025,9,10)),"█","")</f>
        <v>0</v>
      </c>
      <c r="AS7" s="7">
        <f>IF(AND(C7&lt;=DATE(2025,9,23+6),D7&gt;=DATE(2025,9,17)),"█","")</f>
        <v>0</v>
      </c>
      <c r="AT7" s="7">
        <f>IF(AND(C7&lt;=DATE(2025,9,30+6),D7&gt;=DATE(2025,9,24)),"█","")</f>
        <v>0</v>
      </c>
      <c r="AU7" s="7">
        <f>IF(AND(C7&lt;=DATE(2025,10,7+6),D7&gt;=DATE(2025,10,1)),"█","")</f>
        <v>0</v>
      </c>
      <c r="AV7" s="7">
        <f>IF(AND(C7&lt;=DATE(2025,10,14+6),D7&gt;=DATE(2025,10,8)),"█","")</f>
        <v>0</v>
      </c>
      <c r="AW7" s="7">
        <f>IF(AND(C7&lt;=DATE(2025,10,21+6),D7&gt;=DATE(2025,10,15)),"█","")</f>
        <v>0</v>
      </c>
      <c r="AX7" s="7">
        <f>IF(AND(C7&lt;=DATE(2025,10,28+6),D7&gt;=DATE(2025,10,22)),"█","")</f>
        <v>0</v>
      </c>
      <c r="AY7" s="7">
        <f>IF(AND(C7&lt;=DATE(2025,11,4+6),D7&gt;=DATE(2025,10,29)),"█","")</f>
        <v>0</v>
      </c>
      <c r="AZ7" s="7">
        <f>IF(AND(C7&lt;=DATE(2025,11,11+6),D7&gt;=DATE(2025,11,5)),"█","")</f>
        <v>0</v>
      </c>
      <c r="BA7" s="7">
        <f>IF(AND(C7&lt;=DATE(2025,11,18+6),D7&gt;=DATE(2025,11,12)),"█","")</f>
        <v>0</v>
      </c>
      <c r="BB7" s="7">
        <f>IF(AND(C7&lt;=DATE(2025,11,25+6),D7&gt;=DATE(2025,11,19)),"█","")</f>
        <v>0</v>
      </c>
      <c r="BC7" s="7">
        <f>IF(AND(C7&lt;=DATE(2025,12,2+6),D7&gt;=DATE(2025,11,26)),"█","")</f>
        <v>0</v>
      </c>
      <c r="BD7" s="7">
        <f>IF(AND(C7&lt;=DATE(2025,12,9+6),D7&gt;=DATE(2025,12,3)),"█","")</f>
        <v>0</v>
      </c>
      <c r="BE7" s="7">
        <f>IF(AND(C7&lt;=DATE(2025,12,16+6),D7&gt;=DATE(2025,12,10)),"█","")</f>
        <v>0</v>
      </c>
      <c r="BF7" s="7">
        <f>IF(AND(C7&lt;=DATE(2025,12,23+6),D7&gt;=DATE(2025,12,17)),"█","")</f>
        <v>0</v>
      </c>
      <c r="BG7" s="7">
        <f>IF(AND(C7&lt;=DATE(2025,12,30+6),D7&gt;=DATE(2025,12,24)),"█","")</f>
        <v>0</v>
      </c>
    </row>
    <row r="8" spans="1:81">
      <c r="A8" s="5" t="s">
        <v>66</v>
      </c>
      <c r="B8" s="5" t="s">
        <v>67</v>
      </c>
      <c r="C8" s="5">
        <v>45717</v>
      </c>
      <c r="D8" s="5">
        <v>45747</v>
      </c>
      <c r="E8" s="5">
        <f>D8-C8+1</f>
        <v>0</v>
      </c>
      <c r="F8" s="5">
        <v>60</v>
      </c>
      <c r="H8" s="7">
        <f>IF(AND(C8&lt;=DATE(2025,1,7+6),D8&gt;=DATE(2025,1,1)),"█","")</f>
        <v>0</v>
      </c>
      <c r="I8" s="7">
        <f>IF(AND(C8&lt;=DATE(2025,1,14+6),D8&gt;=DATE(2025,1,8)),"█","")</f>
        <v>0</v>
      </c>
      <c r="J8" s="7">
        <f>IF(AND(C8&lt;=DATE(2025,1,21+6),D8&gt;=DATE(2025,1,15)),"█","")</f>
        <v>0</v>
      </c>
      <c r="K8" s="7">
        <f>IF(AND(C8&lt;=DATE(2025,1,28+6),D8&gt;=DATE(2025,1,22)),"█","")</f>
        <v>0</v>
      </c>
      <c r="L8" s="7">
        <f>IF(AND(C8&lt;=DATE(2025,2,4+6),D8&gt;=DATE(2025,1,29)),"█","")</f>
        <v>0</v>
      </c>
      <c r="M8" s="7">
        <f>IF(AND(C8&lt;=DATE(2025,2,11+6),D8&gt;=DATE(2025,2,5)),"█","")</f>
        <v>0</v>
      </c>
      <c r="N8" s="7">
        <f>IF(AND(C8&lt;=DATE(2025,2,18+6),D8&gt;=DATE(2025,2,12)),"█","")</f>
        <v>0</v>
      </c>
      <c r="O8" s="7">
        <f>IF(AND(C8&lt;=DATE(2025,2,25+6),D8&gt;=DATE(2025,2,19)),"█","")</f>
        <v>0</v>
      </c>
      <c r="P8" s="7">
        <f>IF(AND(C8&lt;=DATE(2025,3,4+6),D8&gt;=DATE(2025,2,26)),"█","")</f>
        <v>0</v>
      </c>
      <c r="Q8" s="7">
        <f>IF(AND(C8&lt;=DATE(2025,3,11+6),D8&gt;=DATE(2025,3,5)),"█","")</f>
        <v>0</v>
      </c>
      <c r="R8" s="7">
        <f>IF(AND(C8&lt;=DATE(2025,3,18+6),D8&gt;=DATE(2025,3,12)),"█","")</f>
        <v>0</v>
      </c>
      <c r="S8" s="7">
        <f>IF(AND(C8&lt;=DATE(2025,3,25+6),D8&gt;=DATE(2025,3,19)),"█","")</f>
        <v>0</v>
      </c>
      <c r="T8" s="7">
        <f>IF(AND(C8&lt;=DATE(2025,4,1+6),D8&gt;=DATE(2025,3,26)),"█","")</f>
        <v>0</v>
      </c>
      <c r="U8" s="7">
        <f>IF(AND(C8&lt;=DATE(2025,4,8+6),D8&gt;=DATE(2025,4,2)),"█","")</f>
        <v>0</v>
      </c>
      <c r="V8" s="7">
        <f>IF(AND(C8&lt;=DATE(2025,4,15+6),D8&gt;=DATE(2025,4,9)),"█","")</f>
        <v>0</v>
      </c>
      <c r="W8" s="7">
        <f>IF(AND(C8&lt;=DATE(2025,4,22+6),D8&gt;=DATE(2025,4,16)),"█","")</f>
        <v>0</v>
      </c>
      <c r="X8" s="7">
        <f>IF(AND(C8&lt;=DATE(2025,4,29+6),D8&gt;=DATE(2025,4,23)),"█","")</f>
        <v>0</v>
      </c>
      <c r="Y8" s="7">
        <f>IF(AND(C8&lt;=DATE(2025,5,6+6),D8&gt;=DATE(2025,4,30)),"█","")</f>
        <v>0</v>
      </c>
      <c r="Z8" s="7">
        <f>IF(AND(C8&lt;=DATE(2025,5,13+6),D8&gt;=DATE(2025,5,7)),"█","")</f>
        <v>0</v>
      </c>
      <c r="AA8" s="7">
        <f>IF(AND(C8&lt;=DATE(2025,5,20+6),D8&gt;=DATE(2025,5,14)),"█","")</f>
        <v>0</v>
      </c>
      <c r="AB8" s="7">
        <f>IF(AND(C8&lt;=DATE(2025,5,27+6),D8&gt;=DATE(2025,5,21)),"█","")</f>
        <v>0</v>
      </c>
      <c r="AC8" s="7">
        <f>IF(AND(C8&lt;=DATE(2025,6,3+6),D8&gt;=DATE(2025,5,28)),"█","")</f>
        <v>0</v>
      </c>
      <c r="AD8" s="7">
        <f>IF(AND(C8&lt;=DATE(2025,6,10+6),D8&gt;=DATE(2025,6,4)),"█","")</f>
        <v>0</v>
      </c>
      <c r="AE8" s="7">
        <f>IF(AND(C8&lt;=DATE(2025,6,17+6),D8&gt;=DATE(2025,6,11)),"█","")</f>
        <v>0</v>
      </c>
      <c r="AF8" s="7">
        <f>IF(AND(C8&lt;=DATE(2025,6,24+6),D8&gt;=DATE(2025,6,18)),"█","")</f>
        <v>0</v>
      </c>
      <c r="AG8" s="7">
        <f>IF(AND(C8&lt;=DATE(2025,7,1+6),D8&gt;=DATE(2025,6,25)),"█","")</f>
        <v>0</v>
      </c>
      <c r="AH8" s="7">
        <f>IF(AND(C8&lt;=DATE(2025,7,8+6),D8&gt;=DATE(2025,7,2)),"█","")</f>
        <v>0</v>
      </c>
      <c r="AI8" s="7">
        <f>IF(AND(C8&lt;=DATE(2025,7,15+6),D8&gt;=DATE(2025,7,9)),"█","")</f>
        <v>0</v>
      </c>
      <c r="AJ8" s="7">
        <f>IF(AND(C8&lt;=DATE(2025,7,22+6),D8&gt;=DATE(2025,7,16)),"█","")</f>
        <v>0</v>
      </c>
      <c r="AK8" s="7">
        <f>IF(AND(C8&lt;=DATE(2025,7,29+6),D8&gt;=DATE(2025,7,23)),"█","")</f>
        <v>0</v>
      </c>
      <c r="AL8" s="7">
        <f>IF(AND(C8&lt;=DATE(2025,8,5+6),D8&gt;=DATE(2025,7,30)),"█","")</f>
        <v>0</v>
      </c>
      <c r="AM8" s="7">
        <f>IF(AND(C8&lt;=DATE(2025,8,12+6),D8&gt;=DATE(2025,8,6)),"█","")</f>
        <v>0</v>
      </c>
      <c r="AN8" s="7">
        <f>IF(AND(C8&lt;=DATE(2025,8,19+6),D8&gt;=DATE(2025,8,13)),"█","")</f>
        <v>0</v>
      </c>
      <c r="AO8" s="7">
        <f>IF(AND(C8&lt;=DATE(2025,8,26+6),D8&gt;=DATE(2025,8,20)),"█","")</f>
        <v>0</v>
      </c>
      <c r="AP8" s="7">
        <f>IF(AND(C8&lt;=DATE(2025,9,2+6),D8&gt;=DATE(2025,8,27)),"█","")</f>
        <v>0</v>
      </c>
      <c r="AQ8" s="7">
        <f>IF(AND(C8&lt;=DATE(2025,9,9+6),D8&gt;=DATE(2025,9,3)),"█","")</f>
        <v>0</v>
      </c>
      <c r="AR8" s="7">
        <f>IF(AND(C8&lt;=DATE(2025,9,16+6),D8&gt;=DATE(2025,9,10)),"█","")</f>
        <v>0</v>
      </c>
      <c r="AS8" s="7">
        <f>IF(AND(C8&lt;=DATE(2025,9,23+6),D8&gt;=DATE(2025,9,17)),"█","")</f>
        <v>0</v>
      </c>
      <c r="AT8" s="7">
        <f>IF(AND(C8&lt;=DATE(2025,9,30+6),D8&gt;=DATE(2025,9,24)),"█","")</f>
        <v>0</v>
      </c>
      <c r="AU8" s="7">
        <f>IF(AND(C8&lt;=DATE(2025,10,7+6),D8&gt;=DATE(2025,10,1)),"█","")</f>
        <v>0</v>
      </c>
      <c r="AV8" s="7">
        <f>IF(AND(C8&lt;=DATE(2025,10,14+6),D8&gt;=DATE(2025,10,8)),"█","")</f>
        <v>0</v>
      </c>
      <c r="AW8" s="7">
        <f>IF(AND(C8&lt;=DATE(2025,10,21+6),D8&gt;=DATE(2025,10,15)),"█","")</f>
        <v>0</v>
      </c>
      <c r="AX8" s="7">
        <f>IF(AND(C8&lt;=DATE(2025,10,28+6),D8&gt;=DATE(2025,10,22)),"█","")</f>
        <v>0</v>
      </c>
      <c r="AY8" s="7">
        <f>IF(AND(C8&lt;=DATE(2025,11,4+6),D8&gt;=DATE(2025,10,29)),"█","")</f>
        <v>0</v>
      </c>
      <c r="AZ8" s="7">
        <f>IF(AND(C8&lt;=DATE(2025,11,11+6),D8&gt;=DATE(2025,11,5)),"█","")</f>
        <v>0</v>
      </c>
      <c r="BA8" s="7">
        <f>IF(AND(C8&lt;=DATE(2025,11,18+6),D8&gt;=DATE(2025,11,12)),"█","")</f>
        <v>0</v>
      </c>
      <c r="BB8" s="7">
        <f>IF(AND(C8&lt;=DATE(2025,11,25+6),D8&gt;=DATE(2025,11,19)),"█","")</f>
        <v>0</v>
      </c>
      <c r="BC8" s="7">
        <f>IF(AND(C8&lt;=DATE(2025,12,2+6),D8&gt;=DATE(2025,11,26)),"█","")</f>
        <v>0</v>
      </c>
      <c r="BD8" s="7">
        <f>IF(AND(C8&lt;=DATE(2025,12,9+6),D8&gt;=DATE(2025,12,3)),"█","")</f>
        <v>0</v>
      </c>
      <c r="BE8" s="7">
        <f>IF(AND(C8&lt;=DATE(2025,12,16+6),D8&gt;=DATE(2025,12,10)),"█","")</f>
        <v>0</v>
      </c>
      <c r="BF8" s="7">
        <f>IF(AND(C8&lt;=DATE(2025,12,23+6),D8&gt;=DATE(2025,12,17)),"█","")</f>
        <v>0</v>
      </c>
      <c r="BG8" s="7">
        <f>IF(AND(C8&lt;=DATE(2025,12,30+6),D8&gt;=DATE(2025,12,24)),"█","")</f>
        <v>0</v>
      </c>
    </row>
    <row r="9" spans="1:81">
      <c r="A9" s="5" t="s">
        <v>68</v>
      </c>
      <c r="B9" s="5" t="s">
        <v>69</v>
      </c>
      <c r="C9" s="5">
        <v>45748</v>
      </c>
      <c r="D9" s="5">
        <v>45777</v>
      </c>
      <c r="E9" s="5">
        <f>D9-C9+1</f>
        <v>0</v>
      </c>
      <c r="F9" s="5">
        <v>40</v>
      </c>
      <c r="H9" s="7">
        <f>IF(AND(C9&lt;=DATE(2025,1,7+6),D9&gt;=DATE(2025,1,1)),"█","")</f>
        <v>0</v>
      </c>
      <c r="I9" s="7">
        <f>IF(AND(C9&lt;=DATE(2025,1,14+6),D9&gt;=DATE(2025,1,8)),"█","")</f>
        <v>0</v>
      </c>
      <c r="J9" s="7">
        <f>IF(AND(C9&lt;=DATE(2025,1,21+6),D9&gt;=DATE(2025,1,15)),"█","")</f>
        <v>0</v>
      </c>
      <c r="K9" s="7">
        <f>IF(AND(C9&lt;=DATE(2025,1,28+6),D9&gt;=DATE(2025,1,22)),"█","")</f>
        <v>0</v>
      </c>
      <c r="L9" s="7">
        <f>IF(AND(C9&lt;=DATE(2025,2,4+6),D9&gt;=DATE(2025,1,29)),"█","")</f>
        <v>0</v>
      </c>
      <c r="M9" s="7">
        <f>IF(AND(C9&lt;=DATE(2025,2,11+6),D9&gt;=DATE(2025,2,5)),"█","")</f>
        <v>0</v>
      </c>
      <c r="N9" s="7">
        <f>IF(AND(C9&lt;=DATE(2025,2,18+6),D9&gt;=DATE(2025,2,12)),"█","")</f>
        <v>0</v>
      </c>
      <c r="O9" s="7">
        <f>IF(AND(C9&lt;=DATE(2025,2,25+6),D9&gt;=DATE(2025,2,19)),"█","")</f>
        <v>0</v>
      </c>
      <c r="P9" s="7">
        <f>IF(AND(C9&lt;=DATE(2025,3,4+6),D9&gt;=DATE(2025,2,26)),"█","")</f>
        <v>0</v>
      </c>
      <c r="Q9" s="7">
        <f>IF(AND(C9&lt;=DATE(2025,3,11+6),D9&gt;=DATE(2025,3,5)),"█","")</f>
        <v>0</v>
      </c>
      <c r="R9" s="7">
        <f>IF(AND(C9&lt;=DATE(2025,3,18+6),D9&gt;=DATE(2025,3,12)),"█","")</f>
        <v>0</v>
      </c>
      <c r="S9" s="7">
        <f>IF(AND(C9&lt;=DATE(2025,3,25+6),D9&gt;=DATE(2025,3,19)),"█","")</f>
        <v>0</v>
      </c>
      <c r="T9" s="7">
        <f>IF(AND(C9&lt;=DATE(2025,4,1+6),D9&gt;=DATE(2025,3,26)),"█","")</f>
        <v>0</v>
      </c>
      <c r="U9" s="7">
        <f>IF(AND(C9&lt;=DATE(2025,4,8+6),D9&gt;=DATE(2025,4,2)),"█","")</f>
        <v>0</v>
      </c>
      <c r="V9" s="7">
        <f>IF(AND(C9&lt;=DATE(2025,4,15+6),D9&gt;=DATE(2025,4,9)),"█","")</f>
        <v>0</v>
      </c>
      <c r="W9" s="7">
        <f>IF(AND(C9&lt;=DATE(2025,4,22+6),D9&gt;=DATE(2025,4,16)),"█","")</f>
        <v>0</v>
      </c>
      <c r="X9" s="7">
        <f>IF(AND(C9&lt;=DATE(2025,4,29+6),D9&gt;=DATE(2025,4,23)),"█","")</f>
        <v>0</v>
      </c>
      <c r="Y9" s="7">
        <f>IF(AND(C9&lt;=DATE(2025,5,6+6),D9&gt;=DATE(2025,4,30)),"█","")</f>
        <v>0</v>
      </c>
      <c r="Z9" s="7">
        <f>IF(AND(C9&lt;=DATE(2025,5,13+6),D9&gt;=DATE(2025,5,7)),"█","")</f>
        <v>0</v>
      </c>
      <c r="AA9" s="7">
        <f>IF(AND(C9&lt;=DATE(2025,5,20+6),D9&gt;=DATE(2025,5,14)),"█","")</f>
        <v>0</v>
      </c>
      <c r="AB9" s="7">
        <f>IF(AND(C9&lt;=DATE(2025,5,27+6),D9&gt;=DATE(2025,5,21)),"█","")</f>
        <v>0</v>
      </c>
      <c r="AC9" s="7">
        <f>IF(AND(C9&lt;=DATE(2025,6,3+6),D9&gt;=DATE(2025,5,28)),"█","")</f>
        <v>0</v>
      </c>
      <c r="AD9" s="7">
        <f>IF(AND(C9&lt;=DATE(2025,6,10+6),D9&gt;=DATE(2025,6,4)),"█","")</f>
        <v>0</v>
      </c>
      <c r="AE9" s="7">
        <f>IF(AND(C9&lt;=DATE(2025,6,17+6),D9&gt;=DATE(2025,6,11)),"█","")</f>
        <v>0</v>
      </c>
      <c r="AF9" s="7">
        <f>IF(AND(C9&lt;=DATE(2025,6,24+6),D9&gt;=DATE(2025,6,18)),"█","")</f>
        <v>0</v>
      </c>
      <c r="AG9" s="7">
        <f>IF(AND(C9&lt;=DATE(2025,7,1+6),D9&gt;=DATE(2025,6,25)),"█","")</f>
        <v>0</v>
      </c>
      <c r="AH9" s="7">
        <f>IF(AND(C9&lt;=DATE(2025,7,8+6),D9&gt;=DATE(2025,7,2)),"█","")</f>
        <v>0</v>
      </c>
      <c r="AI9" s="7">
        <f>IF(AND(C9&lt;=DATE(2025,7,15+6),D9&gt;=DATE(2025,7,9)),"█","")</f>
        <v>0</v>
      </c>
      <c r="AJ9" s="7">
        <f>IF(AND(C9&lt;=DATE(2025,7,22+6),D9&gt;=DATE(2025,7,16)),"█","")</f>
        <v>0</v>
      </c>
      <c r="AK9" s="7">
        <f>IF(AND(C9&lt;=DATE(2025,7,29+6),D9&gt;=DATE(2025,7,23)),"█","")</f>
        <v>0</v>
      </c>
      <c r="AL9" s="7">
        <f>IF(AND(C9&lt;=DATE(2025,8,5+6),D9&gt;=DATE(2025,7,30)),"█","")</f>
        <v>0</v>
      </c>
      <c r="AM9" s="7">
        <f>IF(AND(C9&lt;=DATE(2025,8,12+6),D9&gt;=DATE(2025,8,6)),"█","")</f>
        <v>0</v>
      </c>
      <c r="AN9" s="7">
        <f>IF(AND(C9&lt;=DATE(2025,8,19+6),D9&gt;=DATE(2025,8,13)),"█","")</f>
        <v>0</v>
      </c>
      <c r="AO9" s="7">
        <f>IF(AND(C9&lt;=DATE(2025,8,26+6),D9&gt;=DATE(2025,8,20)),"█","")</f>
        <v>0</v>
      </c>
      <c r="AP9" s="7">
        <f>IF(AND(C9&lt;=DATE(2025,9,2+6),D9&gt;=DATE(2025,8,27)),"█","")</f>
        <v>0</v>
      </c>
      <c r="AQ9" s="7">
        <f>IF(AND(C9&lt;=DATE(2025,9,9+6),D9&gt;=DATE(2025,9,3)),"█","")</f>
        <v>0</v>
      </c>
      <c r="AR9" s="7">
        <f>IF(AND(C9&lt;=DATE(2025,9,16+6),D9&gt;=DATE(2025,9,10)),"█","")</f>
        <v>0</v>
      </c>
      <c r="AS9" s="7">
        <f>IF(AND(C9&lt;=DATE(2025,9,23+6),D9&gt;=DATE(2025,9,17)),"█","")</f>
        <v>0</v>
      </c>
      <c r="AT9" s="7">
        <f>IF(AND(C9&lt;=DATE(2025,9,30+6),D9&gt;=DATE(2025,9,24)),"█","")</f>
        <v>0</v>
      </c>
      <c r="AU9" s="7">
        <f>IF(AND(C9&lt;=DATE(2025,10,7+6),D9&gt;=DATE(2025,10,1)),"█","")</f>
        <v>0</v>
      </c>
      <c r="AV9" s="7">
        <f>IF(AND(C9&lt;=DATE(2025,10,14+6),D9&gt;=DATE(2025,10,8)),"█","")</f>
        <v>0</v>
      </c>
      <c r="AW9" s="7">
        <f>IF(AND(C9&lt;=DATE(2025,10,21+6),D9&gt;=DATE(2025,10,15)),"█","")</f>
        <v>0</v>
      </c>
      <c r="AX9" s="7">
        <f>IF(AND(C9&lt;=DATE(2025,10,28+6),D9&gt;=DATE(2025,10,22)),"█","")</f>
        <v>0</v>
      </c>
      <c r="AY9" s="7">
        <f>IF(AND(C9&lt;=DATE(2025,11,4+6),D9&gt;=DATE(2025,10,29)),"█","")</f>
        <v>0</v>
      </c>
      <c r="AZ9" s="7">
        <f>IF(AND(C9&lt;=DATE(2025,11,11+6),D9&gt;=DATE(2025,11,5)),"█","")</f>
        <v>0</v>
      </c>
      <c r="BA9" s="7">
        <f>IF(AND(C9&lt;=DATE(2025,11,18+6),D9&gt;=DATE(2025,11,12)),"█","")</f>
        <v>0</v>
      </c>
      <c r="BB9" s="7">
        <f>IF(AND(C9&lt;=DATE(2025,11,25+6),D9&gt;=DATE(2025,11,19)),"█","")</f>
        <v>0</v>
      </c>
      <c r="BC9" s="7">
        <f>IF(AND(C9&lt;=DATE(2025,12,2+6),D9&gt;=DATE(2025,11,26)),"█","")</f>
        <v>0</v>
      </c>
      <c r="BD9" s="7">
        <f>IF(AND(C9&lt;=DATE(2025,12,9+6),D9&gt;=DATE(2025,12,3)),"█","")</f>
        <v>0</v>
      </c>
      <c r="BE9" s="7">
        <f>IF(AND(C9&lt;=DATE(2025,12,16+6),D9&gt;=DATE(2025,12,10)),"█","")</f>
        <v>0</v>
      </c>
      <c r="BF9" s="7">
        <f>IF(AND(C9&lt;=DATE(2025,12,23+6),D9&gt;=DATE(2025,12,17)),"█","")</f>
        <v>0</v>
      </c>
      <c r="BG9" s="7">
        <f>IF(AND(C9&lt;=DATE(2025,12,30+6),D9&gt;=DATE(2025,12,24)),"█","")</f>
        <v>0</v>
      </c>
    </row>
    <row r="10" spans="1:81">
      <c r="A10" s="5" t="s">
        <v>70</v>
      </c>
      <c r="B10" s="5" t="s">
        <v>71</v>
      </c>
      <c r="C10" s="5">
        <v>45778</v>
      </c>
      <c r="D10" s="5">
        <v>45808</v>
      </c>
      <c r="E10" s="5">
        <f>D10-C10+1</f>
        <v>0</v>
      </c>
      <c r="F10" s="5">
        <v>0</v>
      </c>
      <c r="H10" s="7">
        <f>IF(AND(C10&lt;=DATE(2025,1,7+6),D10&gt;=DATE(2025,1,1)),"█","")</f>
        <v>0</v>
      </c>
      <c r="I10" s="7">
        <f>IF(AND(C10&lt;=DATE(2025,1,14+6),D10&gt;=DATE(2025,1,8)),"█","")</f>
        <v>0</v>
      </c>
      <c r="J10" s="7">
        <f>IF(AND(C10&lt;=DATE(2025,1,21+6),D10&gt;=DATE(2025,1,15)),"█","")</f>
        <v>0</v>
      </c>
      <c r="K10" s="7">
        <f>IF(AND(C10&lt;=DATE(2025,1,28+6),D10&gt;=DATE(2025,1,22)),"█","")</f>
        <v>0</v>
      </c>
      <c r="L10" s="7">
        <f>IF(AND(C10&lt;=DATE(2025,2,4+6),D10&gt;=DATE(2025,1,29)),"█","")</f>
        <v>0</v>
      </c>
      <c r="M10" s="7">
        <f>IF(AND(C10&lt;=DATE(2025,2,11+6),D10&gt;=DATE(2025,2,5)),"█","")</f>
        <v>0</v>
      </c>
      <c r="N10" s="7">
        <f>IF(AND(C10&lt;=DATE(2025,2,18+6),D10&gt;=DATE(2025,2,12)),"█","")</f>
        <v>0</v>
      </c>
      <c r="O10" s="7">
        <f>IF(AND(C10&lt;=DATE(2025,2,25+6),D10&gt;=DATE(2025,2,19)),"█","")</f>
        <v>0</v>
      </c>
      <c r="P10" s="7">
        <f>IF(AND(C10&lt;=DATE(2025,3,4+6),D10&gt;=DATE(2025,2,26)),"█","")</f>
        <v>0</v>
      </c>
      <c r="Q10" s="7">
        <f>IF(AND(C10&lt;=DATE(2025,3,11+6),D10&gt;=DATE(2025,3,5)),"█","")</f>
        <v>0</v>
      </c>
      <c r="R10" s="7">
        <f>IF(AND(C10&lt;=DATE(2025,3,18+6),D10&gt;=DATE(2025,3,12)),"█","")</f>
        <v>0</v>
      </c>
      <c r="S10" s="7">
        <f>IF(AND(C10&lt;=DATE(2025,3,25+6),D10&gt;=DATE(2025,3,19)),"█","")</f>
        <v>0</v>
      </c>
      <c r="T10" s="7">
        <f>IF(AND(C10&lt;=DATE(2025,4,1+6),D10&gt;=DATE(2025,3,26)),"█","")</f>
        <v>0</v>
      </c>
      <c r="U10" s="7">
        <f>IF(AND(C10&lt;=DATE(2025,4,8+6),D10&gt;=DATE(2025,4,2)),"█","")</f>
        <v>0</v>
      </c>
      <c r="V10" s="7">
        <f>IF(AND(C10&lt;=DATE(2025,4,15+6),D10&gt;=DATE(2025,4,9)),"█","")</f>
        <v>0</v>
      </c>
      <c r="W10" s="7">
        <f>IF(AND(C10&lt;=DATE(2025,4,22+6),D10&gt;=DATE(2025,4,16)),"█","")</f>
        <v>0</v>
      </c>
      <c r="X10" s="7">
        <f>IF(AND(C10&lt;=DATE(2025,4,29+6),D10&gt;=DATE(2025,4,23)),"█","")</f>
        <v>0</v>
      </c>
      <c r="Y10" s="7">
        <f>IF(AND(C10&lt;=DATE(2025,5,6+6),D10&gt;=DATE(2025,4,30)),"█","")</f>
        <v>0</v>
      </c>
      <c r="Z10" s="7">
        <f>IF(AND(C10&lt;=DATE(2025,5,13+6),D10&gt;=DATE(2025,5,7)),"█","")</f>
        <v>0</v>
      </c>
      <c r="AA10" s="7">
        <f>IF(AND(C10&lt;=DATE(2025,5,20+6),D10&gt;=DATE(2025,5,14)),"█","")</f>
        <v>0</v>
      </c>
      <c r="AB10" s="7">
        <f>IF(AND(C10&lt;=DATE(2025,5,27+6),D10&gt;=DATE(2025,5,21)),"█","")</f>
        <v>0</v>
      </c>
      <c r="AC10" s="7">
        <f>IF(AND(C10&lt;=DATE(2025,6,3+6),D10&gt;=DATE(2025,5,28)),"█","")</f>
        <v>0</v>
      </c>
      <c r="AD10" s="7">
        <f>IF(AND(C10&lt;=DATE(2025,6,10+6),D10&gt;=DATE(2025,6,4)),"█","")</f>
        <v>0</v>
      </c>
      <c r="AE10" s="7">
        <f>IF(AND(C10&lt;=DATE(2025,6,17+6),D10&gt;=DATE(2025,6,11)),"█","")</f>
        <v>0</v>
      </c>
      <c r="AF10" s="7">
        <f>IF(AND(C10&lt;=DATE(2025,6,24+6),D10&gt;=DATE(2025,6,18)),"█","")</f>
        <v>0</v>
      </c>
      <c r="AG10" s="7">
        <f>IF(AND(C10&lt;=DATE(2025,7,1+6),D10&gt;=DATE(2025,6,25)),"█","")</f>
        <v>0</v>
      </c>
      <c r="AH10" s="7">
        <f>IF(AND(C10&lt;=DATE(2025,7,8+6),D10&gt;=DATE(2025,7,2)),"█","")</f>
        <v>0</v>
      </c>
      <c r="AI10" s="7">
        <f>IF(AND(C10&lt;=DATE(2025,7,15+6),D10&gt;=DATE(2025,7,9)),"█","")</f>
        <v>0</v>
      </c>
      <c r="AJ10" s="7">
        <f>IF(AND(C10&lt;=DATE(2025,7,22+6),D10&gt;=DATE(2025,7,16)),"█","")</f>
        <v>0</v>
      </c>
      <c r="AK10" s="7">
        <f>IF(AND(C10&lt;=DATE(2025,7,29+6),D10&gt;=DATE(2025,7,23)),"█","")</f>
        <v>0</v>
      </c>
      <c r="AL10" s="7">
        <f>IF(AND(C10&lt;=DATE(2025,8,5+6),D10&gt;=DATE(2025,7,30)),"█","")</f>
        <v>0</v>
      </c>
      <c r="AM10" s="7">
        <f>IF(AND(C10&lt;=DATE(2025,8,12+6),D10&gt;=DATE(2025,8,6)),"█","")</f>
        <v>0</v>
      </c>
      <c r="AN10" s="7">
        <f>IF(AND(C10&lt;=DATE(2025,8,19+6),D10&gt;=DATE(2025,8,13)),"█","")</f>
        <v>0</v>
      </c>
      <c r="AO10" s="7">
        <f>IF(AND(C10&lt;=DATE(2025,8,26+6),D10&gt;=DATE(2025,8,20)),"█","")</f>
        <v>0</v>
      </c>
      <c r="AP10" s="7">
        <f>IF(AND(C10&lt;=DATE(2025,9,2+6),D10&gt;=DATE(2025,8,27)),"█","")</f>
        <v>0</v>
      </c>
      <c r="AQ10" s="7">
        <f>IF(AND(C10&lt;=DATE(2025,9,9+6),D10&gt;=DATE(2025,9,3)),"█","")</f>
        <v>0</v>
      </c>
      <c r="AR10" s="7">
        <f>IF(AND(C10&lt;=DATE(2025,9,16+6),D10&gt;=DATE(2025,9,10)),"█","")</f>
        <v>0</v>
      </c>
      <c r="AS10" s="7">
        <f>IF(AND(C10&lt;=DATE(2025,9,23+6),D10&gt;=DATE(2025,9,17)),"█","")</f>
        <v>0</v>
      </c>
      <c r="AT10" s="7">
        <f>IF(AND(C10&lt;=DATE(2025,9,30+6),D10&gt;=DATE(2025,9,24)),"█","")</f>
        <v>0</v>
      </c>
      <c r="AU10" s="7">
        <f>IF(AND(C10&lt;=DATE(2025,10,7+6),D10&gt;=DATE(2025,10,1)),"█","")</f>
        <v>0</v>
      </c>
      <c r="AV10" s="7">
        <f>IF(AND(C10&lt;=DATE(2025,10,14+6),D10&gt;=DATE(2025,10,8)),"█","")</f>
        <v>0</v>
      </c>
      <c r="AW10" s="7">
        <f>IF(AND(C10&lt;=DATE(2025,10,21+6),D10&gt;=DATE(2025,10,15)),"█","")</f>
        <v>0</v>
      </c>
      <c r="AX10" s="7">
        <f>IF(AND(C10&lt;=DATE(2025,10,28+6),D10&gt;=DATE(2025,10,22)),"█","")</f>
        <v>0</v>
      </c>
      <c r="AY10" s="7">
        <f>IF(AND(C10&lt;=DATE(2025,11,4+6),D10&gt;=DATE(2025,10,29)),"█","")</f>
        <v>0</v>
      </c>
      <c r="AZ10" s="7">
        <f>IF(AND(C10&lt;=DATE(2025,11,11+6),D10&gt;=DATE(2025,11,5)),"█","")</f>
        <v>0</v>
      </c>
      <c r="BA10" s="7">
        <f>IF(AND(C10&lt;=DATE(2025,11,18+6),D10&gt;=DATE(2025,11,12)),"█","")</f>
        <v>0</v>
      </c>
      <c r="BB10" s="7">
        <f>IF(AND(C10&lt;=DATE(2025,11,25+6),D10&gt;=DATE(2025,11,19)),"█","")</f>
        <v>0</v>
      </c>
      <c r="BC10" s="7">
        <f>IF(AND(C10&lt;=DATE(2025,12,2+6),D10&gt;=DATE(2025,11,26)),"█","")</f>
        <v>0</v>
      </c>
      <c r="BD10" s="7">
        <f>IF(AND(C10&lt;=DATE(2025,12,9+6),D10&gt;=DATE(2025,12,3)),"█","")</f>
        <v>0</v>
      </c>
      <c r="BE10" s="7">
        <f>IF(AND(C10&lt;=DATE(2025,12,16+6),D10&gt;=DATE(2025,12,10)),"█","")</f>
        <v>0</v>
      </c>
      <c r="BF10" s="7">
        <f>IF(AND(C10&lt;=DATE(2025,12,23+6),D10&gt;=DATE(2025,12,17)),"█","")</f>
        <v>0</v>
      </c>
      <c r="BG10" s="7">
        <f>IF(AND(C10&lt;=DATE(2025,12,30+6),D10&gt;=DATE(2025,12,24)),"█","")</f>
        <v>0</v>
      </c>
    </row>
    <row r="12" spans="1:81">
      <c r="A12" s="4" t="s">
        <v>72</v>
      </c>
      <c r="B12" s="4" t="s">
        <v>73</v>
      </c>
      <c r="C12" s="5">
        <v>45689</v>
      </c>
      <c r="D12" s="5">
        <v>45777</v>
      </c>
      <c r="E12" s="5">
        <f>D12-C12+1</f>
        <v>0</v>
      </c>
      <c r="F12" s="5">
        <v>0</v>
      </c>
      <c r="H12" s="6">
        <f>IF(AND(C12&lt;=DATE(2025,1,7+6),D12&gt;=DATE(2025,1,1)),"█","")</f>
        <v>0</v>
      </c>
      <c r="I12" s="6">
        <f>IF(AND(C12&lt;=DATE(2025,1,14+6),D12&gt;=DATE(2025,1,8)),"█","")</f>
        <v>0</v>
      </c>
      <c r="J12" s="6">
        <f>IF(AND(C12&lt;=DATE(2025,1,21+6),D12&gt;=DATE(2025,1,15)),"█","")</f>
        <v>0</v>
      </c>
      <c r="K12" s="6">
        <f>IF(AND(C12&lt;=DATE(2025,1,28+6),D12&gt;=DATE(2025,1,22)),"█","")</f>
        <v>0</v>
      </c>
      <c r="L12" s="6">
        <f>IF(AND(C12&lt;=DATE(2025,2,4+6),D12&gt;=DATE(2025,1,29)),"█","")</f>
        <v>0</v>
      </c>
      <c r="M12" s="6">
        <f>IF(AND(C12&lt;=DATE(2025,2,11+6),D12&gt;=DATE(2025,2,5)),"█","")</f>
        <v>0</v>
      </c>
      <c r="N12" s="6">
        <f>IF(AND(C12&lt;=DATE(2025,2,18+6),D12&gt;=DATE(2025,2,12)),"█","")</f>
        <v>0</v>
      </c>
      <c r="O12" s="6">
        <f>IF(AND(C12&lt;=DATE(2025,2,25+6),D12&gt;=DATE(2025,2,19)),"█","")</f>
        <v>0</v>
      </c>
      <c r="P12" s="6">
        <f>IF(AND(C12&lt;=DATE(2025,3,4+6),D12&gt;=DATE(2025,2,26)),"█","")</f>
        <v>0</v>
      </c>
      <c r="Q12" s="6">
        <f>IF(AND(C12&lt;=DATE(2025,3,11+6),D12&gt;=DATE(2025,3,5)),"█","")</f>
        <v>0</v>
      </c>
      <c r="R12" s="6">
        <f>IF(AND(C12&lt;=DATE(2025,3,18+6),D12&gt;=DATE(2025,3,12)),"█","")</f>
        <v>0</v>
      </c>
      <c r="S12" s="6">
        <f>IF(AND(C12&lt;=DATE(2025,3,25+6),D12&gt;=DATE(2025,3,19)),"█","")</f>
        <v>0</v>
      </c>
      <c r="T12" s="6">
        <f>IF(AND(C12&lt;=DATE(2025,4,1+6),D12&gt;=DATE(2025,3,26)),"█","")</f>
        <v>0</v>
      </c>
      <c r="U12" s="6">
        <f>IF(AND(C12&lt;=DATE(2025,4,8+6),D12&gt;=DATE(2025,4,2)),"█","")</f>
        <v>0</v>
      </c>
      <c r="V12" s="6">
        <f>IF(AND(C12&lt;=DATE(2025,4,15+6),D12&gt;=DATE(2025,4,9)),"█","")</f>
        <v>0</v>
      </c>
      <c r="W12" s="6">
        <f>IF(AND(C12&lt;=DATE(2025,4,22+6),D12&gt;=DATE(2025,4,16)),"█","")</f>
        <v>0</v>
      </c>
      <c r="X12" s="6">
        <f>IF(AND(C12&lt;=DATE(2025,4,29+6),D12&gt;=DATE(2025,4,23)),"█","")</f>
        <v>0</v>
      </c>
      <c r="Y12" s="6">
        <f>IF(AND(C12&lt;=DATE(2025,5,6+6),D12&gt;=DATE(2025,4,30)),"█","")</f>
        <v>0</v>
      </c>
      <c r="Z12" s="6">
        <f>IF(AND(C12&lt;=DATE(2025,5,13+6),D12&gt;=DATE(2025,5,7)),"█","")</f>
        <v>0</v>
      </c>
      <c r="AA12" s="6">
        <f>IF(AND(C12&lt;=DATE(2025,5,20+6),D12&gt;=DATE(2025,5,14)),"█","")</f>
        <v>0</v>
      </c>
      <c r="AB12" s="6">
        <f>IF(AND(C12&lt;=DATE(2025,5,27+6),D12&gt;=DATE(2025,5,21)),"█","")</f>
        <v>0</v>
      </c>
      <c r="AC12" s="6">
        <f>IF(AND(C12&lt;=DATE(2025,6,3+6),D12&gt;=DATE(2025,5,28)),"█","")</f>
        <v>0</v>
      </c>
      <c r="AD12" s="6">
        <f>IF(AND(C12&lt;=DATE(2025,6,10+6),D12&gt;=DATE(2025,6,4)),"█","")</f>
        <v>0</v>
      </c>
      <c r="AE12" s="6">
        <f>IF(AND(C12&lt;=DATE(2025,6,17+6),D12&gt;=DATE(2025,6,11)),"█","")</f>
        <v>0</v>
      </c>
      <c r="AF12" s="6">
        <f>IF(AND(C12&lt;=DATE(2025,6,24+6),D12&gt;=DATE(2025,6,18)),"█","")</f>
        <v>0</v>
      </c>
      <c r="AG12" s="6">
        <f>IF(AND(C12&lt;=DATE(2025,7,1+6),D12&gt;=DATE(2025,6,25)),"█","")</f>
        <v>0</v>
      </c>
      <c r="AH12" s="6">
        <f>IF(AND(C12&lt;=DATE(2025,7,8+6),D12&gt;=DATE(2025,7,2)),"█","")</f>
        <v>0</v>
      </c>
      <c r="AI12" s="6">
        <f>IF(AND(C12&lt;=DATE(2025,7,15+6),D12&gt;=DATE(2025,7,9)),"█","")</f>
        <v>0</v>
      </c>
      <c r="AJ12" s="6">
        <f>IF(AND(C12&lt;=DATE(2025,7,22+6),D12&gt;=DATE(2025,7,16)),"█","")</f>
        <v>0</v>
      </c>
      <c r="AK12" s="6">
        <f>IF(AND(C12&lt;=DATE(2025,7,29+6),D12&gt;=DATE(2025,7,23)),"█","")</f>
        <v>0</v>
      </c>
      <c r="AL12" s="6">
        <f>IF(AND(C12&lt;=DATE(2025,8,5+6),D12&gt;=DATE(2025,7,30)),"█","")</f>
        <v>0</v>
      </c>
      <c r="AM12" s="6">
        <f>IF(AND(C12&lt;=DATE(2025,8,12+6),D12&gt;=DATE(2025,8,6)),"█","")</f>
        <v>0</v>
      </c>
      <c r="AN12" s="6">
        <f>IF(AND(C12&lt;=DATE(2025,8,19+6),D12&gt;=DATE(2025,8,13)),"█","")</f>
        <v>0</v>
      </c>
      <c r="AO12" s="6">
        <f>IF(AND(C12&lt;=DATE(2025,8,26+6),D12&gt;=DATE(2025,8,20)),"█","")</f>
        <v>0</v>
      </c>
      <c r="AP12" s="6">
        <f>IF(AND(C12&lt;=DATE(2025,9,2+6),D12&gt;=DATE(2025,8,27)),"█","")</f>
        <v>0</v>
      </c>
      <c r="AQ12" s="6">
        <f>IF(AND(C12&lt;=DATE(2025,9,9+6),D12&gt;=DATE(2025,9,3)),"█","")</f>
        <v>0</v>
      </c>
      <c r="AR12" s="6">
        <f>IF(AND(C12&lt;=DATE(2025,9,16+6),D12&gt;=DATE(2025,9,10)),"█","")</f>
        <v>0</v>
      </c>
      <c r="AS12" s="6">
        <f>IF(AND(C12&lt;=DATE(2025,9,23+6),D12&gt;=DATE(2025,9,17)),"█","")</f>
        <v>0</v>
      </c>
      <c r="AT12" s="6">
        <f>IF(AND(C12&lt;=DATE(2025,9,30+6),D12&gt;=DATE(2025,9,24)),"█","")</f>
        <v>0</v>
      </c>
      <c r="AU12" s="6">
        <f>IF(AND(C12&lt;=DATE(2025,10,7+6),D12&gt;=DATE(2025,10,1)),"█","")</f>
        <v>0</v>
      </c>
      <c r="AV12" s="6">
        <f>IF(AND(C12&lt;=DATE(2025,10,14+6),D12&gt;=DATE(2025,10,8)),"█","")</f>
        <v>0</v>
      </c>
      <c r="AW12" s="6">
        <f>IF(AND(C12&lt;=DATE(2025,10,21+6),D12&gt;=DATE(2025,10,15)),"█","")</f>
        <v>0</v>
      </c>
      <c r="AX12" s="6">
        <f>IF(AND(C12&lt;=DATE(2025,10,28+6),D12&gt;=DATE(2025,10,22)),"█","")</f>
        <v>0</v>
      </c>
      <c r="AY12" s="6">
        <f>IF(AND(C12&lt;=DATE(2025,11,4+6),D12&gt;=DATE(2025,10,29)),"█","")</f>
        <v>0</v>
      </c>
      <c r="AZ12" s="6">
        <f>IF(AND(C12&lt;=DATE(2025,11,11+6),D12&gt;=DATE(2025,11,5)),"█","")</f>
        <v>0</v>
      </c>
      <c r="BA12" s="6">
        <f>IF(AND(C12&lt;=DATE(2025,11,18+6),D12&gt;=DATE(2025,11,12)),"█","")</f>
        <v>0</v>
      </c>
      <c r="BB12" s="6">
        <f>IF(AND(C12&lt;=DATE(2025,11,25+6),D12&gt;=DATE(2025,11,19)),"█","")</f>
        <v>0</v>
      </c>
      <c r="BC12" s="6">
        <f>IF(AND(C12&lt;=DATE(2025,12,2+6),D12&gt;=DATE(2025,11,26)),"█","")</f>
        <v>0</v>
      </c>
      <c r="BD12" s="6">
        <f>IF(AND(C12&lt;=DATE(2025,12,9+6),D12&gt;=DATE(2025,12,3)),"█","")</f>
        <v>0</v>
      </c>
      <c r="BE12" s="6">
        <f>IF(AND(C12&lt;=DATE(2025,12,16+6),D12&gt;=DATE(2025,12,10)),"█","")</f>
        <v>0</v>
      </c>
      <c r="BF12" s="6">
        <f>IF(AND(C12&lt;=DATE(2025,12,23+6),D12&gt;=DATE(2025,12,17)),"█","")</f>
        <v>0</v>
      </c>
      <c r="BG12" s="6">
        <f>IF(AND(C12&lt;=DATE(2025,12,30+6),D12&gt;=DATE(2025,12,24)),"█","")</f>
        <v>0</v>
      </c>
    </row>
    <row r="13" spans="1:81">
      <c r="A13" s="5" t="s">
        <v>74</v>
      </c>
      <c r="B13" s="5" t="s">
        <v>75</v>
      </c>
      <c r="C13" s="5">
        <v>45689</v>
      </c>
      <c r="D13" s="5">
        <v>45703</v>
      </c>
      <c r="E13" s="5">
        <f>D13-C13+1</f>
        <v>0</v>
      </c>
      <c r="F13" s="5">
        <v>100</v>
      </c>
      <c r="H13" s="8">
        <f>IF(AND(C13&lt;=DATE(2025,1,7+6),D13&gt;=DATE(2025,1,1)),"█","")</f>
        <v>0</v>
      </c>
      <c r="I13" s="8">
        <f>IF(AND(C13&lt;=DATE(2025,1,14+6),D13&gt;=DATE(2025,1,8)),"█","")</f>
        <v>0</v>
      </c>
      <c r="J13" s="8">
        <f>IF(AND(C13&lt;=DATE(2025,1,21+6),D13&gt;=DATE(2025,1,15)),"█","")</f>
        <v>0</v>
      </c>
      <c r="K13" s="8">
        <f>IF(AND(C13&lt;=DATE(2025,1,28+6),D13&gt;=DATE(2025,1,22)),"█","")</f>
        <v>0</v>
      </c>
      <c r="L13" s="8">
        <f>IF(AND(C13&lt;=DATE(2025,2,4+6),D13&gt;=DATE(2025,1,29)),"█","")</f>
        <v>0</v>
      </c>
      <c r="M13" s="8">
        <f>IF(AND(C13&lt;=DATE(2025,2,11+6),D13&gt;=DATE(2025,2,5)),"█","")</f>
        <v>0</v>
      </c>
      <c r="N13" s="8">
        <f>IF(AND(C13&lt;=DATE(2025,2,18+6),D13&gt;=DATE(2025,2,12)),"█","")</f>
        <v>0</v>
      </c>
      <c r="O13" s="8">
        <f>IF(AND(C13&lt;=DATE(2025,2,25+6),D13&gt;=DATE(2025,2,19)),"█","")</f>
        <v>0</v>
      </c>
      <c r="P13" s="8">
        <f>IF(AND(C13&lt;=DATE(2025,3,4+6),D13&gt;=DATE(2025,2,26)),"█","")</f>
        <v>0</v>
      </c>
      <c r="Q13" s="8">
        <f>IF(AND(C13&lt;=DATE(2025,3,11+6),D13&gt;=DATE(2025,3,5)),"█","")</f>
        <v>0</v>
      </c>
      <c r="R13" s="8">
        <f>IF(AND(C13&lt;=DATE(2025,3,18+6),D13&gt;=DATE(2025,3,12)),"█","")</f>
        <v>0</v>
      </c>
      <c r="S13" s="8">
        <f>IF(AND(C13&lt;=DATE(2025,3,25+6),D13&gt;=DATE(2025,3,19)),"█","")</f>
        <v>0</v>
      </c>
      <c r="T13" s="8">
        <f>IF(AND(C13&lt;=DATE(2025,4,1+6),D13&gt;=DATE(2025,3,26)),"█","")</f>
        <v>0</v>
      </c>
      <c r="U13" s="8">
        <f>IF(AND(C13&lt;=DATE(2025,4,8+6),D13&gt;=DATE(2025,4,2)),"█","")</f>
        <v>0</v>
      </c>
      <c r="V13" s="8">
        <f>IF(AND(C13&lt;=DATE(2025,4,15+6),D13&gt;=DATE(2025,4,9)),"█","")</f>
        <v>0</v>
      </c>
      <c r="W13" s="8">
        <f>IF(AND(C13&lt;=DATE(2025,4,22+6),D13&gt;=DATE(2025,4,16)),"█","")</f>
        <v>0</v>
      </c>
      <c r="X13" s="8">
        <f>IF(AND(C13&lt;=DATE(2025,4,29+6),D13&gt;=DATE(2025,4,23)),"█","")</f>
        <v>0</v>
      </c>
      <c r="Y13" s="8">
        <f>IF(AND(C13&lt;=DATE(2025,5,6+6),D13&gt;=DATE(2025,4,30)),"█","")</f>
        <v>0</v>
      </c>
      <c r="Z13" s="8">
        <f>IF(AND(C13&lt;=DATE(2025,5,13+6),D13&gt;=DATE(2025,5,7)),"█","")</f>
        <v>0</v>
      </c>
      <c r="AA13" s="8">
        <f>IF(AND(C13&lt;=DATE(2025,5,20+6),D13&gt;=DATE(2025,5,14)),"█","")</f>
        <v>0</v>
      </c>
      <c r="AB13" s="8">
        <f>IF(AND(C13&lt;=DATE(2025,5,27+6),D13&gt;=DATE(2025,5,21)),"█","")</f>
        <v>0</v>
      </c>
      <c r="AC13" s="8">
        <f>IF(AND(C13&lt;=DATE(2025,6,3+6),D13&gt;=DATE(2025,5,28)),"█","")</f>
        <v>0</v>
      </c>
      <c r="AD13" s="8">
        <f>IF(AND(C13&lt;=DATE(2025,6,10+6),D13&gt;=DATE(2025,6,4)),"█","")</f>
        <v>0</v>
      </c>
      <c r="AE13" s="8">
        <f>IF(AND(C13&lt;=DATE(2025,6,17+6),D13&gt;=DATE(2025,6,11)),"█","")</f>
        <v>0</v>
      </c>
      <c r="AF13" s="8">
        <f>IF(AND(C13&lt;=DATE(2025,6,24+6),D13&gt;=DATE(2025,6,18)),"█","")</f>
        <v>0</v>
      </c>
      <c r="AG13" s="8">
        <f>IF(AND(C13&lt;=DATE(2025,7,1+6),D13&gt;=DATE(2025,6,25)),"█","")</f>
        <v>0</v>
      </c>
      <c r="AH13" s="8">
        <f>IF(AND(C13&lt;=DATE(2025,7,8+6),D13&gt;=DATE(2025,7,2)),"█","")</f>
        <v>0</v>
      </c>
      <c r="AI13" s="8">
        <f>IF(AND(C13&lt;=DATE(2025,7,15+6),D13&gt;=DATE(2025,7,9)),"█","")</f>
        <v>0</v>
      </c>
      <c r="AJ13" s="8">
        <f>IF(AND(C13&lt;=DATE(2025,7,22+6),D13&gt;=DATE(2025,7,16)),"█","")</f>
        <v>0</v>
      </c>
      <c r="AK13" s="8">
        <f>IF(AND(C13&lt;=DATE(2025,7,29+6),D13&gt;=DATE(2025,7,23)),"█","")</f>
        <v>0</v>
      </c>
      <c r="AL13" s="8">
        <f>IF(AND(C13&lt;=DATE(2025,8,5+6),D13&gt;=DATE(2025,7,30)),"█","")</f>
        <v>0</v>
      </c>
      <c r="AM13" s="8">
        <f>IF(AND(C13&lt;=DATE(2025,8,12+6),D13&gt;=DATE(2025,8,6)),"█","")</f>
        <v>0</v>
      </c>
      <c r="AN13" s="8">
        <f>IF(AND(C13&lt;=DATE(2025,8,19+6),D13&gt;=DATE(2025,8,13)),"█","")</f>
        <v>0</v>
      </c>
      <c r="AO13" s="8">
        <f>IF(AND(C13&lt;=DATE(2025,8,26+6),D13&gt;=DATE(2025,8,20)),"█","")</f>
        <v>0</v>
      </c>
      <c r="AP13" s="8">
        <f>IF(AND(C13&lt;=DATE(2025,9,2+6),D13&gt;=DATE(2025,8,27)),"█","")</f>
        <v>0</v>
      </c>
      <c r="AQ13" s="8">
        <f>IF(AND(C13&lt;=DATE(2025,9,9+6),D13&gt;=DATE(2025,9,3)),"█","")</f>
        <v>0</v>
      </c>
      <c r="AR13" s="8">
        <f>IF(AND(C13&lt;=DATE(2025,9,16+6),D13&gt;=DATE(2025,9,10)),"█","")</f>
        <v>0</v>
      </c>
      <c r="AS13" s="8">
        <f>IF(AND(C13&lt;=DATE(2025,9,23+6),D13&gt;=DATE(2025,9,17)),"█","")</f>
        <v>0</v>
      </c>
      <c r="AT13" s="8">
        <f>IF(AND(C13&lt;=DATE(2025,9,30+6),D13&gt;=DATE(2025,9,24)),"█","")</f>
        <v>0</v>
      </c>
      <c r="AU13" s="8">
        <f>IF(AND(C13&lt;=DATE(2025,10,7+6),D13&gt;=DATE(2025,10,1)),"█","")</f>
        <v>0</v>
      </c>
      <c r="AV13" s="8">
        <f>IF(AND(C13&lt;=DATE(2025,10,14+6),D13&gt;=DATE(2025,10,8)),"█","")</f>
        <v>0</v>
      </c>
      <c r="AW13" s="8">
        <f>IF(AND(C13&lt;=DATE(2025,10,21+6),D13&gt;=DATE(2025,10,15)),"█","")</f>
        <v>0</v>
      </c>
      <c r="AX13" s="8">
        <f>IF(AND(C13&lt;=DATE(2025,10,28+6),D13&gt;=DATE(2025,10,22)),"█","")</f>
        <v>0</v>
      </c>
      <c r="AY13" s="8">
        <f>IF(AND(C13&lt;=DATE(2025,11,4+6),D13&gt;=DATE(2025,10,29)),"█","")</f>
        <v>0</v>
      </c>
      <c r="AZ13" s="8">
        <f>IF(AND(C13&lt;=DATE(2025,11,11+6),D13&gt;=DATE(2025,11,5)),"█","")</f>
        <v>0</v>
      </c>
      <c r="BA13" s="8">
        <f>IF(AND(C13&lt;=DATE(2025,11,18+6),D13&gt;=DATE(2025,11,12)),"█","")</f>
        <v>0</v>
      </c>
      <c r="BB13" s="8">
        <f>IF(AND(C13&lt;=DATE(2025,11,25+6),D13&gt;=DATE(2025,11,19)),"█","")</f>
        <v>0</v>
      </c>
      <c r="BC13" s="8">
        <f>IF(AND(C13&lt;=DATE(2025,12,2+6),D13&gt;=DATE(2025,11,26)),"█","")</f>
        <v>0</v>
      </c>
      <c r="BD13" s="8">
        <f>IF(AND(C13&lt;=DATE(2025,12,9+6),D13&gt;=DATE(2025,12,3)),"█","")</f>
        <v>0</v>
      </c>
      <c r="BE13" s="8">
        <f>IF(AND(C13&lt;=DATE(2025,12,16+6),D13&gt;=DATE(2025,12,10)),"█","")</f>
        <v>0</v>
      </c>
      <c r="BF13" s="8">
        <f>IF(AND(C13&lt;=DATE(2025,12,23+6),D13&gt;=DATE(2025,12,17)),"█","")</f>
        <v>0</v>
      </c>
      <c r="BG13" s="8">
        <f>IF(AND(C13&lt;=DATE(2025,12,30+6),D13&gt;=DATE(2025,12,24)),"█","")</f>
        <v>0</v>
      </c>
    </row>
    <row r="14" spans="1:81">
      <c r="A14" s="5" t="s">
        <v>76</v>
      </c>
      <c r="B14" s="5" t="s">
        <v>77</v>
      </c>
      <c r="C14" s="5">
        <v>45704</v>
      </c>
      <c r="D14" s="5">
        <v>45731</v>
      </c>
      <c r="E14" s="5">
        <f>D14-C14+1</f>
        <v>0</v>
      </c>
      <c r="F14" s="5">
        <v>50</v>
      </c>
      <c r="H14" s="8">
        <f>IF(AND(C14&lt;=DATE(2025,1,7+6),D14&gt;=DATE(2025,1,1)),"█","")</f>
        <v>0</v>
      </c>
      <c r="I14" s="8">
        <f>IF(AND(C14&lt;=DATE(2025,1,14+6),D14&gt;=DATE(2025,1,8)),"█","")</f>
        <v>0</v>
      </c>
      <c r="J14" s="8">
        <f>IF(AND(C14&lt;=DATE(2025,1,21+6),D14&gt;=DATE(2025,1,15)),"█","")</f>
        <v>0</v>
      </c>
      <c r="K14" s="8">
        <f>IF(AND(C14&lt;=DATE(2025,1,28+6),D14&gt;=DATE(2025,1,22)),"█","")</f>
        <v>0</v>
      </c>
      <c r="L14" s="8">
        <f>IF(AND(C14&lt;=DATE(2025,2,4+6),D14&gt;=DATE(2025,1,29)),"█","")</f>
        <v>0</v>
      </c>
      <c r="M14" s="8">
        <f>IF(AND(C14&lt;=DATE(2025,2,11+6),D14&gt;=DATE(2025,2,5)),"█","")</f>
        <v>0</v>
      </c>
      <c r="N14" s="8">
        <f>IF(AND(C14&lt;=DATE(2025,2,18+6),D14&gt;=DATE(2025,2,12)),"█","")</f>
        <v>0</v>
      </c>
      <c r="O14" s="8">
        <f>IF(AND(C14&lt;=DATE(2025,2,25+6),D14&gt;=DATE(2025,2,19)),"█","")</f>
        <v>0</v>
      </c>
      <c r="P14" s="8">
        <f>IF(AND(C14&lt;=DATE(2025,3,4+6),D14&gt;=DATE(2025,2,26)),"█","")</f>
        <v>0</v>
      </c>
      <c r="Q14" s="8">
        <f>IF(AND(C14&lt;=DATE(2025,3,11+6),D14&gt;=DATE(2025,3,5)),"█","")</f>
        <v>0</v>
      </c>
      <c r="R14" s="8">
        <f>IF(AND(C14&lt;=DATE(2025,3,18+6),D14&gt;=DATE(2025,3,12)),"█","")</f>
        <v>0</v>
      </c>
      <c r="S14" s="8">
        <f>IF(AND(C14&lt;=DATE(2025,3,25+6),D14&gt;=DATE(2025,3,19)),"█","")</f>
        <v>0</v>
      </c>
      <c r="T14" s="8">
        <f>IF(AND(C14&lt;=DATE(2025,4,1+6),D14&gt;=DATE(2025,3,26)),"█","")</f>
        <v>0</v>
      </c>
      <c r="U14" s="8">
        <f>IF(AND(C14&lt;=DATE(2025,4,8+6),D14&gt;=DATE(2025,4,2)),"█","")</f>
        <v>0</v>
      </c>
      <c r="V14" s="8">
        <f>IF(AND(C14&lt;=DATE(2025,4,15+6),D14&gt;=DATE(2025,4,9)),"█","")</f>
        <v>0</v>
      </c>
      <c r="W14" s="8">
        <f>IF(AND(C14&lt;=DATE(2025,4,22+6),D14&gt;=DATE(2025,4,16)),"█","")</f>
        <v>0</v>
      </c>
      <c r="X14" s="8">
        <f>IF(AND(C14&lt;=DATE(2025,4,29+6),D14&gt;=DATE(2025,4,23)),"█","")</f>
        <v>0</v>
      </c>
      <c r="Y14" s="8">
        <f>IF(AND(C14&lt;=DATE(2025,5,6+6),D14&gt;=DATE(2025,4,30)),"█","")</f>
        <v>0</v>
      </c>
      <c r="Z14" s="8">
        <f>IF(AND(C14&lt;=DATE(2025,5,13+6),D14&gt;=DATE(2025,5,7)),"█","")</f>
        <v>0</v>
      </c>
      <c r="AA14" s="8">
        <f>IF(AND(C14&lt;=DATE(2025,5,20+6),D14&gt;=DATE(2025,5,14)),"█","")</f>
        <v>0</v>
      </c>
      <c r="AB14" s="8">
        <f>IF(AND(C14&lt;=DATE(2025,5,27+6),D14&gt;=DATE(2025,5,21)),"█","")</f>
        <v>0</v>
      </c>
      <c r="AC14" s="8">
        <f>IF(AND(C14&lt;=DATE(2025,6,3+6),D14&gt;=DATE(2025,5,28)),"█","")</f>
        <v>0</v>
      </c>
      <c r="AD14" s="8">
        <f>IF(AND(C14&lt;=DATE(2025,6,10+6),D14&gt;=DATE(2025,6,4)),"█","")</f>
        <v>0</v>
      </c>
      <c r="AE14" s="8">
        <f>IF(AND(C14&lt;=DATE(2025,6,17+6),D14&gt;=DATE(2025,6,11)),"█","")</f>
        <v>0</v>
      </c>
      <c r="AF14" s="8">
        <f>IF(AND(C14&lt;=DATE(2025,6,24+6),D14&gt;=DATE(2025,6,18)),"█","")</f>
        <v>0</v>
      </c>
      <c r="AG14" s="8">
        <f>IF(AND(C14&lt;=DATE(2025,7,1+6),D14&gt;=DATE(2025,6,25)),"█","")</f>
        <v>0</v>
      </c>
      <c r="AH14" s="8">
        <f>IF(AND(C14&lt;=DATE(2025,7,8+6),D14&gt;=DATE(2025,7,2)),"█","")</f>
        <v>0</v>
      </c>
      <c r="AI14" s="8">
        <f>IF(AND(C14&lt;=DATE(2025,7,15+6),D14&gt;=DATE(2025,7,9)),"█","")</f>
        <v>0</v>
      </c>
      <c r="AJ14" s="8">
        <f>IF(AND(C14&lt;=DATE(2025,7,22+6),D14&gt;=DATE(2025,7,16)),"█","")</f>
        <v>0</v>
      </c>
      <c r="AK14" s="8">
        <f>IF(AND(C14&lt;=DATE(2025,7,29+6),D14&gt;=DATE(2025,7,23)),"█","")</f>
        <v>0</v>
      </c>
      <c r="AL14" s="8">
        <f>IF(AND(C14&lt;=DATE(2025,8,5+6),D14&gt;=DATE(2025,7,30)),"█","")</f>
        <v>0</v>
      </c>
      <c r="AM14" s="8">
        <f>IF(AND(C14&lt;=DATE(2025,8,12+6),D14&gt;=DATE(2025,8,6)),"█","")</f>
        <v>0</v>
      </c>
      <c r="AN14" s="8">
        <f>IF(AND(C14&lt;=DATE(2025,8,19+6),D14&gt;=DATE(2025,8,13)),"█","")</f>
        <v>0</v>
      </c>
      <c r="AO14" s="8">
        <f>IF(AND(C14&lt;=DATE(2025,8,26+6),D14&gt;=DATE(2025,8,20)),"█","")</f>
        <v>0</v>
      </c>
      <c r="AP14" s="8">
        <f>IF(AND(C14&lt;=DATE(2025,9,2+6),D14&gt;=DATE(2025,8,27)),"█","")</f>
        <v>0</v>
      </c>
      <c r="AQ14" s="8">
        <f>IF(AND(C14&lt;=DATE(2025,9,9+6),D14&gt;=DATE(2025,9,3)),"█","")</f>
        <v>0</v>
      </c>
      <c r="AR14" s="8">
        <f>IF(AND(C14&lt;=DATE(2025,9,16+6),D14&gt;=DATE(2025,9,10)),"█","")</f>
        <v>0</v>
      </c>
      <c r="AS14" s="8">
        <f>IF(AND(C14&lt;=DATE(2025,9,23+6),D14&gt;=DATE(2025,9,17)),"█","")</f>
        <v>0</v>
      </c>
      <c r="AT14" s="8">
        <f>IF(AND(C14&lt;=DATE(2025,9,30+6),D14&gt;=DATE(2025,9,24)),"█","")</f>
        <v>0</v>
      </c>
      <c r="AU14" s="8">
        <f>IF(AND(C14&lt;=DATE(2025,10,7+6),D14&gt;=DATE(2025,10,1)),"█","")</f>
        <v>0</v>
      </c>
      <c r="AV14" s="8">
        <f>IF(AND(C14&lt;=DATE(2025,10,14+6),D14&gt;=DATE(2025,10,8)),"█","")</f>
        <v>0</v>
      </c>
      <c r="AW14" s="8">
        <f>IF(AND(C14&lt;=DATE(2025,10,21+6),D14&gt;=DATE(2025,10,15)),"█","")</f>
        <v>0</v>
      </c>
      <c r="AX14" s="8">
        <f>IF(AND(C14&lt;=DATE(2025,10,28+6),D14&gt;=DATE(2025,10,22)),"█","")</f>
        <v>0</v>
      </c>
      <c r="AY14" s="8">
        <f>IF(AND(C14&lt;=DATE(2025,11,4+6),D14&gt;=DATE(2025,10,29)),"█","")</f>
        <v>0</v>
      </c>
      <c r="AZ14" s="8">
        <f>IF(AND(C14&lt;=DATE(2025,11,11+6),D14&gt;=DATE(2025,11,5)),"█","")</f>
        <v>0</v>
      </c>
      <c r="BA14" s="8">
        <f>IF(AND(C14&lt;=DATE(2025,11,18+6),D14&gt;=DATE(2025,11,12)),"█","")</f>
        <v>0</v>
      </c>
      <c r="BB14" s="8">
        <f>IF(AND(C14&lt;=DATE(2025,11,25+6),D14&gt;=DATE(2025,11,19)),"█","")</f>
        <v>0</v>
      </c>
      <c r="BC14" s="8">
        <f>IF(AND(C14&lt;=DATE(2025,12,2+6),D14&gt;=DATE(2025,11,26)),"█","")</f>
        <v>0</v>
      </c>
      <c r="BD14" s="8">
        <f>IF(AND(C14&lt;=DATE(2025,12,9+6),D14&gt;=DATE(2025,12,3)),"█","")</f>
        <v>0</v>
      </c>
      <c r="BE14" s="8">
        <f>IF(AND(C14&lt;=DATE(2025,12,16+6),D14&gt;=DATE(2025,12,10)),"█","")</f>
        <v>0</v>
      </c>
      <c r="BF14" s="8">
        <f>IF(AND(C14&lt;=DATE(2025,12,23+6),D14&gt;=DATE(2025,12,17)),"█","")</f>
        <v>0</v>
      </c>
      <c r="BG14" s="8">
        <f>IF(AND(C14&lt;=DATE(2025,12,30+6),D14&gt;=DATE(2025,12,24)),"█","")</f>
        <v>0</v>
      </c>
    </row>
    <row r="15" spans="1:81">
      <c r="A15" s="5" t="s">
        <v>78</v>
      </c>
      <c r="B15" s="5" t="s">
        <v>79</v>
      </c>
      <c r="C15" s="5">
        <v>45732</v>
      </c>
      <c r="D15" s="5">
        <v>45762</v>
      </c>
      <c r="E15" s="5">
        <f>D15-C15+1</f>
        <v>0</v>
      </c>
      <c r="F15" s="5">
        <v>0</v>
      </c>
      <c r="H15" s="8">
        <f>IF(AND(C15&lt;=DATE(2025,1,7+6),D15&gt;=DATE(2025,1,1)),"█","")</f>
        <v>0</v>
      </c>
      <c r="I15" s="8">
        <f>IF(AND(C15&lt;=DATE(2025,1,14+6),D15&gt;=DATE(2025,1,8)),"█","")</f>
        <v>0</v>
      </c>
      <c r="J15" s="8">
        <f>IF(AND(C15&lt;=DATE(2025,1,21+6),D15&gt;=DATE(2025,1,15)),"█","")</f>
        <v>0</v>
      </c>
      <c r="K15" s="8">
        <f>IF(AND(C15&lt;=DATE(2025,1,28+6),D15&gt;=DATE(2025,1,22)),"█","")</f>
        <v>0</v>
      </c>
      <c r="L15" s="8">
        <f>IF(AND(C15&lt;=DATE(2025,2,4+6),D15&gt;=DATE(2025,1,29)),"█","")</f>
        <v>0</v>
      </c>
      <c r="M15" s="8">
        <f>IF(AND(C15&lt;=DATE(2025,2,11+6),D15&gt;=DATE(2025,2,5)),"█","")</f>
        <v>0</v>
      </c>
      <c r="N15" s="8">
        <f>IF(AND(C15&lt;=DATE(2025,2,18+6),D15&gt;=DATE(2025,2,12)),"█","")</f>
        <v>0</v>
      </c>
      <c r="O15" s="8">
        <f>IF(AND(C15&lt;=DATE(2025,2,25+6),D15&gt;=DATE(2025,2,19)),"█","")</f>
        <v>0</v>
      </c>
      <c r="P15" s="8">
        <f>IF(AND(C15&lt;=DATE(2025,3,4+6),D15&gt;=DATE(2025,2,26)),"█","")</f>
        <v>0</v>
      </c>
      <c r="Q15" s="8">
        <f>IF(AND(C15&lt;=DATE(2025,3,11+6),D15&gt;=DATE(2025,3,5)),"█","")</f>
        <v>0</v>
      </c>
      <c r="R15" s="8">
        <f>IF(AND(C15&lt;=DATE(2025,3,18+6),D15&gt;=DATE(2025,3,12)),"█","")</f>
        <v>0</v>
      </c>
      <c r="S15" s="8">
        <f>IF(AND(C15&lt;=DATE(2025,3,25+6),D15&gt;=DATE(2025,3,19)),"█","")</f>
        <v>0</v>
      </c>
      <c r="T15" s="8">
        <f>IF(AND(C15&lt;=DATE(2025,4,1+6),D15&gt;=DATE(2025,3,26)),"█","")</f>
        <v>0</v>
      </c>
      <c r="U15" s="8">
        <f>IF(AND(C15&lt;=DATE(2025,4,8+6),D15&gt;=DATE(2025,4,2)),"█","")</f>
        <v>0</v>
      </c>
      <c r="V15" s="8">
        <f>IF(AND(C15&lt;=DATE(2025,4,15+6),D15&gt;=DATE(2025,4,9)),"█","")</f>
        <v>0</v>
      </c>
      <c r="W15" s="8">
        <f>IF(AND(C15&lt;=DATE(2025,4,22+6),D15&gt;=DATE(2025,4,16)),"█","")</f>
        <v>0</v>
      </c>
      <c r="X15" s="8">
        <f>IF(AND(C15&lt;=DATE(2025,4,29+6),D15&gt;=DATE(2025,4,23)),"█","")</f>
        <v>0</v>
      </c>
      <c r="Y15" s="8">
        <f>IF(AND(C15&lt;=DATE(2025,5,6+6),D15&gt;=DATE(2025,4,30)),"█","")</f>
        <v>0</v>
      </c>
      <c r="Z15" s="8">
        <f>IF(AND(C15&lt;=DATE(2025,5,13+6),D15&gt;=DATE(2025,5,7)),"█","")</f>
        <v>0</v>
      </c>
      <c r="AA15" s="8">
        <f>IF(AND(C15&lt;=DATE(2025,5,20+6),D15&gt;=DATE(2025,5,14)),"█","")</f>
        <v>0</v>
      </c>
      <c r="AB15" s="8">
        <f>IF(AND(C15&lt;=DATE(2025,5,27+6),D15&gt;=DATE(2025,5,21)),"█","")</f>
        <v>0</v>
      </c>
      <c r="AC15" s="8">
        <f>IF(AND(C15&lt;=DATE(2025,6,3+6),D15&gt;=DATE(2025,5,28)),"█","")</f>
        <v>0</v>
      </c>
      <c r="AD15" s="8">
        <f>IF(AND(C15&lt;=DATE(2025,6,10+6),D15&gt;=DATE(2025,6,4)),"█","")</f>
        <v>0</v>
      </c>
      <c r="AE15" s="8">
        <f>IF(AND(C15&lt;=DATE(2025,6,17+6),D15&gt;=DATE(2025,6,11)),"█","")</f>
        <v>0</v>
      </c>
      <c r="AF15" s="8">
        <f>IF(AND(C15&lt;=DATE(2025,6,24+6),D15&gt;=DATE(2025,6,18)),"█","")</f>
        <v>0</v>
      </c>
      <c r="AG15" s="8">
        <f>IF(AND(C15&lt;=DATE(2025,7,1+6),D15&gt;=DATE(2025,6,25)),"█","")</f>
        <v>0</v>
      </c>
      <c r="AH15" s="8">
        <f>IF(AND(C15&lt;=DATE(2025,7,8+6),D15&gt;=DATE(2025,7,2)),"█","")</f>
        <v>0</v>
      </c>
      <c r="AI15" s="8">
        <f>IF(AND(C15&lt;=DATE(2025,7,15+6),D15&gt;=DATE(2025,7,9)),"█","")</f>
        <v>0</v>
      </c>
      <c r="AJ15" s="8">
        <f>IF(AND(C15&lt;=DATE(2025,7,22+6),D15&gt;=DATE(2025,7,16)),"█","")</f>
        <v>0</v>
      </c>
      <c r="AK15" s="8">
        <f>IF(AND(C15&lt;=DATE(2025,7,29+6),D15&gt;=DATE(2025,7,23)),"█","")</f>
        <v>0</v>
      </c>
      <c r="AL15" s="8">
        <f>IF(AND(C15&lt;=DATE(2025,8,5+6),D15&gt;=DATE(2025,7,30)),"█","")</f>
        <v>0</v>
      </c>
      <c r="AM15" s="8">
        <f>IF(AND(C15&lt;=DATE(2025,8,12+6),D15&gt;=DATE(2025,8,6)),"█","")</f>
        <v>0</v>
      </c>
      <c r="AN15" s="8">
        <f>IF(AND(C15&lt;=DATE(2025,8,19+6),D15&gt;=DATE(2025,8,13)),"█","")</f>
        <v>0</v>
      </c>
      <c r="AO15" s="8">
        <f>IF(AND(C15&lt;=DATE(2025,8,26+6),D15&gt;=DATE(2025,8,20)),"█","")</f>
        <v>0</v>
      </c>
      <c r="AP15" s="8">
        <f>IF(AND(C15&lt;=DATE(2025,9,2+6),D15&gt;=DATE(2025,8,27)),"█","")</f>
        <v>0</v>
      </c>
      <c r="AQ15" s="8">
        <f>IF(AND(C15&lt;=DATE(2025,9,9+6),D15&gt;=DATE(2025,9,3)),"█","")</f>
        <v>0</v>
      </c>
      <c r="AR15" s="8">
        <f>IF(AND(C15&lt;=DATE(2025,9,16+6),D15&gt;=DATE(2025,9,10)),"█","")</f>
        <v>0</v>
      </c>
      <c r="AS15" s="8">
        <f>IF(AND(C15&lt;=DATE(2025,9,23+6),D15&gt;=DATE(2025,9,17)),"█","")</f>
        <v>0</v>
      </c>
      <c r="AT15" s="8">
        <f>IF(AND(C15&lt;=DATE(2025,9,30+6),D15&gt;=DATE(2025,9,24)),"█","")</f>
        <v>0</v>
      </c>
      <c r="AU15" s="8">
        <f>IF(AND(C15&lt;=DATE(2025,10,7+6),D15&gt;=DATE(2025,10,1)),"█","")</f>
        <v>0</v>
      </c>
      <c r="AV15" s="8">
        <f>IF(AND(C15&lt;=DATE(2025,10,14+6),D15&gt;=DATE(2025,10,8)),"█","")</f>
        <v>0</v>
      </c>
      <c r="AW15" s="8">
        <f>IF(AND(C15&lt;=DATE(2025,10,21+6),D15&gt;=DATE(2025,10,15)),"█","")</f>
        <v>0</v>
      </c>
      <c r="AX15" s="8">
        <f>IF(AND(C15&lt;=DATE(2025,10,28+6),D15&gt;=DATE(2025,10,22)),"█","")</f>
        <v>0</v>
      </c>
      <c r="AY15" s="8">
        <f>IF(AND(C15&lt;=DATE(2025,11,4+6),D15&gt;=DATE(2025,10,29)),"█","")</f>
        <v>0</v>
      </c>
      <c r="AZ15" s="8">
        <f>IF(AND(C15&lt;=DATE(2025,11,11+6),D15&gt;=DATE(2025,11,5)),"█","")</f>
        <v>0</v>
      </c>
      <c r="BA15" s="8">
        <f>IF(AND(C15&lt;=DATE(2025,11,18+6),D15&gt;=DATE(2025,11,12)),"█","")</f>
        <v>0</v>
      </c>
      <c r="BB15" s="8">
        <f>IF(AND(C15&lt;=DATE(2025,11,25+6),D15&gt;=DATE(2025,11,19)),"█","")</f>
        <v>0</v>
      </c>
      <c r="BC15" s="8">
        <f>IF(AND(C15&lt;=DATE(2025,12,2+6),D15&gt;=DATE(2025,11,26)),"█","")</f>
        <v>0</v>
      </c>
      <c r="BD15" s="8">
        <f>IF(AND(C15&lt;=DATE(2025,12,9+6),D15&gt;=DATE(2025,12,3)),"█","")</f>
        <v>0</v>
      </c>
      <c r="BE15" s="8">
        <f>IF(AND(C15&lt;=DATE(2025,12,16+6),D15&gt;=DATE(2025,12,10)),"█","")</f>
        <v>0</v>
      </c>
      <c r="BF15" s="8">
        <f>IF(AND(C15&lt;=DATE(2025,12,23+6),D15&gt;=DATE(2025,12,17)),"█","")</f>
        <v>0</v>
      </c>
      <c r="BG15" s="8">
        <f>IF(AND(C15&lt;=DATE(2025,12,30+6),D15&gt;=DATE(2025,12,24)),"█","")</f>
        <v>0</v>
      </c>
    </row>
    <row r="16" spans="1:81">
      <c r="A16" s="5" t="s">
        <v>80</v>
      </c>
      <c r="B16" s="5" t="s">
        <v>81</v>
      </c>
      <c r="C16" s="5">
        <v>45763</v>
      </c>
      <c r="D16" s="5">
        <v>45777</v>
      </c>
      <c r="E16" s="5">
        <f>D16-C16+1</f>
        <v>0</v>
      </c>
      <c r="F16" s="5">
        <v>0</v>
      </c>
      <c r="H16" s="8">
        <f>IF(AND(C16&lt;=DATE(2025,1,7+6),D16&gt;=DATE(2025,1,1)),"█","")</f>
        <v>0</v>
      </c>
      <c r="I16" s="8">
        <f>IF(AND(C16&lt;=DATE(2025,1,14+6),D16&gt;=DATE(2025,1,8)),"█","")</f>
        <v>0</v>
      </c>
      <c r="J16" s="8">
        <f>IF(AND(C16&lt;=DATE(2025,1,21+6),D16&gt;=DATE(2025,1,15)),"█","")</f>
        <v>0</v>
      </c>
      <c r="K16" s="8">
        <f>IF(AND(C16&lt;=DATE(2025,1,28+6),D16&gt;=DATE(2025,1,22)),"█","")</f>
        <v>0</v>
      </c>
      <c r="L16" s="8">
        <f>IF(AND(C16&lt;=DATE(2025,2,4+6),D16&gt;=DATE(2025,1,29)),"█","")</f>
        <v>0</v>
      </c>
      <c r="M16" s="8">
        <f>IF(AND(C16&lt;=DATE(2025,2,11+6),D16&gt;=DATE(2025,2,5)),"█","")</f>
        <v>0</v>
      </c>
      <c r="N16" s="8">
        <f>IF(AND(C16&lt;=DATE(2025,2,18+6),D16&gt;=DATE(2025,2,12)),"█","")</f>
        <v>0</v>
      </c>
      <c r="O16" s="8">
        <f>IF(AND(C16&lt;=DATE(2025,2,25+6),D16&gt;=DATE(2025,2,19)),"█","")</f>
        <v>0</v>
      </c>
      <c r="P16" s="8">
        <f>IF(AND(C16&lt;=DATE(2025,3,4+6),D16&gt;=DATE(2025,2,26)),"█","")</f>
        <v>0</v>
      </c>
      <c r="Q16" s="8">
        <f>IF(AND(C16&lt;=DATE(2025,3,11+6),D16&gt;=DATE(2025,3,5)),"█","")</f>
        <v>0</v>
      </c>
      <c r="R16" s="8">
        <f>IF(AND(C16&lt;=DATE(2025,3,18+6),D16&gt;=DATE(2025,3,12)),"█","")</f>
        <v>0</v>
      </c>
      <c r="S16" s="8">
        <f>IF(AND(C16&lt;=DATE(2025,3,25+6),D16&gt;=DATE(2025,3,19)),"█","")</f>
        <v>0</v>
      </c>
      <c r="T16" s="8">
        <f>IF(AND(C16&lt;=DATE(2025,4,1+6),D16&gt;=DATE(2025,3,26)),"█","")</f>
        <v>0</v>
      </c>
      <c r="U16" s="8">
        <f>IF(AND(C16&lt;=DATE(2025,4,8+6),D16&gt;=DATE(2025,4,2)),"█","")</f>
        <v>0</v>
      </c>
      <c r="V16" s="8">
        <f>IF(AND(C16&lt;=DATE(2025,4,15+6),D16&gt;=DATE(2025,4,9)),"█","")</f>
        <v>0</v>
      </c>
      <c r="W16" s="8">
        <f>IF(AND(C16&lt;=DATE(2025,4,22+6),D16&gt;=DATE(2025,4,16)),"█","")</f>
        <v>0</v>
      </c>
      <c r="X16" s="8">
        <f>IF(AND(C16&lt;=DATE(2025,4,29+6),D16&gt;=DATE(2025,4,23)),"█","")</f>
        <v>0</v>
      </c>
      <c r="Y16" s="8">
        <f>IF(AND(C16&lt;=DATE(2025,5,6+6),D16&gt;=DATE(2025,4,30)),"█","")</f>
        <v>0</v>
      </c>
      <c r="Z16" s="8">
        <f>IF(AND(C16&lt;=DATE(2025,5,13+6),D16&gt;=DATE(2025,5,7)),"█","")</f>
        <v>0</v>
      </c>
      <c r="AA16" s="8">
        <f>IF(AND(C16&lt;=DATE(2025,5,20+6),D16&gt;=DATE(2025,5,14)),"█","")</f>
        <v>0</v>
      </c>
      <c r="AB16" s="8">
        <f>IF(AND(C16&lt;=DATE(2025,5,27+6),D16&gt;=DATE(2025,5,21)),"█","")</f>
        <v>0</v>
      </c>
      <c r="AC16" s="8">
        <f>IF(AND(C16&lt;=DATE(2025,6,3+6),D16&gt;=DATE(2025,5,28)),"█","")</f>
        <v>0</v>
      </c>
      <c r="AD16" s="8">
        <f>IF(AND(C16&lt;=DATE(2025,6,10+6),D16&gt;=DATE(2025,6,4)),"█","")</f>
        <v>0</v>
      </c>
      <c r="AE16" s="8">
        <f>IF(AND(C16&lt;=DATE(2025,6,17+6),D16&gt;=DATE(2025,6,11)),"█","")</f>
        <v>0</v>
      </c>
      <c r="AF16" s="8">
        <f>IF(AND(C16&lt;=DATE(2025,6,24+6),D16&gt;=DATE(2025,6,18)),"█","")</f>
        <v>0</v>
      </c>
      <c r="AG16" s="8">
        <f>IF(AND(C16&lt;=DATE(2025,7,1+6),D16&gt;=DATE(2025,6,25)),"█","")</f>
        <v>0</v>
      </c>
      <c r="AH16" s="8">
        <f>IF(AND(C16&lt;=DATE(2025,7,8+6),D16&gt;=DATE(2025,7,2)),"█","")</f>
        <v>0</v>
      </c>
      <c r="AI16" s="8">
        <f>IF(AND(C16&lt;=DATE(2025,7,15+6),D16&gt;=DATE(2025,7,9)),"█","")</f>
        <v>0</v>
      </c>
      <c r="AJ16" s="8">
        <f>IF(AND(C16&lt;=DATE(2025,7,22+6),D16&gt;=DATE(2025,7,16)),"█","")</f>
        <v>0</v>
      </c>
      <c r="AK16" s="8">
        <f>IF(AND(C16&lt;=DATE(2025,7,29+6),D16&gt;=DATE(2025,7,23)),"█","")</f>
        <v>0</v>
      </c>
      <c r="AL16" s="8">
        <f>IF(AND(C16&lt;=DATE(2025,8,5+6),D16&gt;=DATE(2025,7,30)),"█","")</f>
        <v>0</v>
      </c>
      <c r="AM16" s="8">
        <f>IF(AND(C16&lt;=DATE(2025,8,12+6),D16&gt;=DATE(2025,8,6)),"█","")</f>
        <v>0</v>
      </c>
      <c r="AN16" s="8">
        <f>IF(AND(C16&lt;=DATE(2025,8,19+6),D16&gt;=DATE(2025,8,13)),"█","")</f>
        <v>0</v>
      </c>
      <c r="AO16" s="8">
        <f>IF(AND(C16&lt;=DATE(2025,8,26+6),D16&gt;=DATE(2025,8,20)),"█","")</f>
        <v>0</v>
      </c>
      <c r="AP16" s="8">
        <f>IF(AND(C16&lt;=DATE(2025,9,2+6),D16&gt;=DATE(2025,8,27)),"█","")</f>
        <v>0</v>
      </c>
      <c r="AQ16" s="8">
        <f>IF(AND(C16&lt;=DATE(2025,9,9+6),D16&gt;=DATE(2025,9,3)),"█","")</f>
        <v>0</v>
      </c>
      <c r="AR16" s="8">
        <f>IF(AND(C16&lt;=DATE(2025,9,16+6),D16&gt;=DATE(2025,9,10)),"█","")</f>
        <v>0</v>
      </c>
      <c r="AS16" s="8">
        <f>IF(AND(C16&lt;=DATE(2025,9,23+6),D16&gt;=DATE(2025,9,17)),"█","")</f>
        <v>0</v>
      </c>
      <c r="AT16" s="8">
        <f>IF(AND(C16&lt;=DATE(2025,9,30+6),D16&gt;=DATE(2025,9,24)),"█","")</f>
        <v>0</v>
      </c>
      <c r="AU16" s="8">
        <f>IF(AND(C16&lt;=DATE(2025,10,7+6),D16&gt;=DATE(2025,10,1)),"█","")</f>
        <v>0</v>
      </c>
      <c r="AV16" s="8">
        <f>IF(AND(C16&lt;=DATE(2025,10,14+6),D16&gt;=DATE(2025,10,8)),"█","")</f>
        <v>0</v>
      </c>
      <c r="AW16" s="8">
        <f>IF(AND(C16&lt;=DATE(2025,10,21+6),D16&gt;=DATE(2025,10,15)),"█","")</f>
        <v>0</v>
      </c>
      <c r="AX16" s="8">
        <f>IF(AND(C16&lt;=DATE(2025,10,28+6),D16&gt;=DATE(2025,10,22)),"█","")</f>
        <v>0</v>
      </c>
      <c r="AY16" s="8">
        <f>IF(AND(C16&lt;=DATE(2025,11,4+6),D16&gt;=DATE(2025,10,29)),"█","")</f>
        <v>0</v>
      </c>
      <c r="AZ16" s="8">
        <f>IF(AND(C16&lt;=DATE(2025,11,11+6),D16&gt;=DATE(2025,11,5)),"█","")</f>
        <v>0</v>
      </c>
      <c r="BA16" s="8">
        <f>IF(AND(C16&lt;=DATE(2025,11,18+6),D16&gt;=DATE(2025,11,12)),"█","")</f>
        <v>0</v>
      </c>
      <c r="BB16" s="8">
        <f>IF(AND(C16&lt;=DATE(2025,11,25+6),D16&gt;=DATE(2025,11,19)),"█","")</f>
        <v>0</v>
      </c>
      <c r="BC16" s="8">
        <f>IF(AND(C16&lt;=DATE(2025,12,2+6),D16&gt;=DATE(2025,11,26)),"█","")</f>
        <v>0</v>
      </c>
      <c r="BD16" s="8">
        <f>IF(AND(C16&lt;=DATE(2025,12,9+6),D16&gt;=DATE(2025,12,3)),"█","")</f>
        <v>0</v>
      </c>
      <c r="BE16" s="8">
        <f>IF(AND(C16&lt;=DATE(2025,12,16+6),D16&gt;=DATE(2025,12,10)),"█","")</f>
        <v>0</v>
      </c>
      <c r="BF16" s="8">
        <f>IF(AND(C16&lt;=DATE(2025,12,23+6),D16&gt;=DATE(2025,12,17)),"█","")</f>
        <v>0</v>
      </c>
      <c r="BG16" s="8">
        <f>IF(AND(C16&lt;=DATE(2025,12,30+6),D16&gt;=DATE(2025,12,24)),"█","")</f>
        <v>0</v>
      </c>
    </row>
    <row r="18" spans="1:59">
      <c r="A18" s="4" t="s">
        <v>82</v>
      </c>
      <c r="B18" s="4" t="s">
        <v>83</v>
      </c>
      <c r="C18" s="5">
        <v>45717</v>
      </c>
      <c r="D18" s="5">
        <v>45838</v>
      </c>
      <c r="E18" s="5">
        <f>D18-C18+1</f>
        <v>0</v>
      </c>
      <c r="F18" s="5">
        <v>0</v>
      </c>
      <c r="H18" s="6">
        <f>IF(AND(C18&lt;=DATE(2025,1,7+6),D18&gt;=DATE(2025,1,1)),"█","")</f>
        <v>0</v>
      </c>
      <c r="I18" s="6">
        <f>IF(AND(C18&lt;=DATE(2025,1,14+6),D18&gt;=DATE(2025,1,8)),"█","")</f>
        <v>0</v>
      </c>
      <c r="J18" s="6">
        <f>IF(AND(C18&lt;=DATE(2025,1,21+6),D18&gt;=DATE(2025,1,15)),"█","")</f>
        <v>0</v>
      </c>
      <c r="K18" s="6">
        <f>IF(AND(C18&lt;=DATE(2025,1,28+6),D18&gt;=DATE(2025,1,22)),"█","")</f>
        <v>0</v>
      </c>
      <c r="L18" s="6">
        <f>IF(AND(C18&lt;=DATE(2025,2,4+6),D18&gt;=DATE(2025,1,29)),"█","")</f>
        <v>0</v>
      </c>
      <c r="M18" s="6">
        <f>IF(AND(C18&lt;=DATE(2025,2,11+6),D18&gt;=DATE(2025,2,5)),"█","")</f>
        <v>0</v>
      </c>
      <c r="N18" s="6">
        <f>IF(AND(C18&lt;=DATE(2025,2,18+6),D18&gt;=DATE(2025,2,12)),"█","")</f>
        <v>0</v>
      </c>
      <c r="O18" s="6">
        <f>IF(AND(C18&lt;=DATE(2025,2,25+6),D18&gt;=DATE(2025,2,19)),"█","")</f>
        <v>0</v>
      </c>
      <c r="P18" s="6">
        <f>IF(AND(C18&lt;=DATE(2025,3,4+6),D18&gt;=DATE(2025,2,26)),"█","")</f>
        <v>0</v>
      </c>
      <c r="Q18" s="6">
        <f>IF(AND(C18&lt;=DATE(2025,3,11+6),D18&gt;=DATE(2025,3,5)),"█","")</f>
        <v>0</v>
      </c>
      <c r="R18" s="6">
        <f>IF(AND(C18&lt;=DATE(2025,3,18+6),D18&gt;=DATE(2025,3,12)),"█","")</f>
        <v>0</v>
      </c>
      <c r="S18" s="6">
        <f>IF(AND(C18&lt;=DATE(2025,3,25+6),D18&gt;=DATE(2025,3,19)),"█","")</f>
        <v>0</v>
      </c>
      <c r="T18" s="6">
        <f>IF(AND(C18&lt;=DATE(2025,4,1+6),D18&gt;=DATE(2025,3,26)),"█","")</f>
        <v>0</v>
      </c>
      <c r="U18" s="6">
        <f>IF(AND(C18&lt;=DATE(2025,4,8+6),D18&gt;=DATE(2025,4,2)),"█","")</f>
        <v>0</v>
      </c>
      <c r="V18" s="6">
        <f>IF(AND(C18&lt;=DATE(2025,4,15+6),D18&gt;=DATE(2025,4,9)),"█","")</f>
        <v>0</v>
      </c>
      <c r="W18" s="6">
        <f>IF(AND(C18&lt;=DATE(2025,4,22+6),D18&gt;=DATE(2025,4,16)),"█","")</f>
        <v>0</v>
      </c>
      <c r="X18" s="6">
        <f>IF(AND(C18&lt;=DATE(2025,4,29+6),D18&gt;=DATE(2025,4,23)),"█","")</f>
        <v>0</v>
      </c>
      <c r="Y18" s="6">
        <f>IF(AND(C18&lt;=DATE(2025,5,6+6),D18&gt;=DATE(2025,4,30)),"█","")</f>
        <v>0</v>
      </c>
      <c r="Z18" s="6">
        <f>IF(AND(C18&lt;=DATE(2025,5,13+6),D18&gt;=DATE(2025,5,7)),"█","")</f>
        <v>0</v>
      </c>
      <c r="AA18" s="6">
        <f>IF(AND(C18&lt;=DATE(2025,5,20+6),D18&gt;=DATE(2025,5,14)),"█","")</f>
        <v>0</v>
      </c>
      <c r="AB18" s="6">
        <f>IF(AND(C18&lt;=DATE(2025,5,27+6),D18&gt;=DATE(2025,5,21)),"█","")</f>
        <v>0</v>
      </c>
      <c r="AC18" s="6">
        <f>IF(AND(C18&lt;=DATE(2025,6,3+6),D18&gt;=DATE(2025,5,28)),"█","")</f>
        <v>0</v>
      </c>
      <c r="AD18" s="6">
        <f>IF(AND(C18&lt;=DATE(2025,6,10+6),D18&gt;=DATE(2025,6,4)),"█","")</f>
        <v>0</v>
      </c>
      <c r="AE18" s="6">
        <f>IF(AND(C18&lt;=DATE(2025,6,17+6),D18&gt;=DATE(2025,6,11)),"█","")</f>
        <v>0</v>
      </c>
      <c r="AF18" s="6">
        <f>IF(AND(C18&lt;=DATE(2025,6,24+6),D18&gt;=DATE(2025,6,18)),"█","")</f>
        <v>0</v>
      </c>
      <c r="AG18" s="6">
        <f>IF(AND(C18&lt;=DATE(2025,7,1+6),D18&gt;=DATE(2025,6,25)),"█","")</f>
        <v>0</v>
      </c>
      <c r="AH18" s="6">
        <f>IF(AND(C18&lt;=DATE(2025,7,8+6),D18&gt;=DATE(2025,7,2)),"█","")</f>
        <v>0</v>
      </c>
      <c r="AI18" s="6">
        <f>IF(AND(C18&lt;=DATE(2025,7,15+6),D18&gt;=DATE(2025,7,9)),"█","")</f>
        <v>0</v>
      </c>
      <c r="AJ18" s="6">
        <f>IF(AND(C18&lt;=DATE(2025,7,22+6),D18&gt;=DATE(2025,7,16)),"█","")</f>
        <v>0</v>
      </c>
      <c r="AK18" s="6">
        <f>IF(AND(C18&lt;=DATE(2025,7,29+6),D18&gt;=DATE(2025,7,23)),"█","")</f>
        <v>0</v>
      </c>
      <c r="AL18" s="6">
        <f>IF(AND(C18&lt;=DATE(2025,8,5+6),D18&gt;=DATE(2025,7,30)),"█","")</f>
        <v>0</v>
      </c>
      <c r="AM18" s="6">
        <f>IF(AND(C18&lt;=DATE(2025,8,12+6),D18&gt;=DATE(2025,8,6)),"█","")</f>
        <v>0</v>
      </c>
      <c r="AN18" s="6">
        <f>IF(AND(C18&lt;=DATE(2025,8,19+6),D18&gt;=DATE(2025,8,13)),"█","")</f>
        <v>0</v>
      </c>
      <c r="AO18" s="6">
        <f>IF(AND(C18&lt;=DATE(2025,8,26+6),D18&gt;=DATE(2025,8,20)),"█","")</f>
        <v>0</v>
      </c>
      <c r="AP18" s="6">
        <f>IF(AND(C18&lt;=DATE(2025,9,2+6),D18&gt;=DATE(2025,8,27)),"█","")</f>
        <v>0</v>
      </c>
      <c r="AQ18" s="6">
        <f>IF(AND(C18&lt;=DATE(2025,9,9+6),D18&gt;=DATE(2025,9,3)),"█","")</f>
        <v>0</v>
      </c>
      <c r="AR18" s="6">
        <f>IF(AND(C18&lt;=DATE(2025,9,16+6),D18&gt;=DATE(2025,9,10)),"█","")</f>
        <v>0</v>
      </c>
      <c r="AS18" s="6">
        <f>IF(AND(C18&lt;=DATE(2025,9,23+6),D18&gt;=DATE(2025,9,17)),"█","")</f>
        <v>0</v>
      </c>
      <c r="AT18" s="6">
        <f>IF(AND(C18&lt;=DATE(2025,9,30+6),D18&gt;=DATE(2025,9,24)),"█","")</f>
        <v>0</v>
      </c>
      <c r="AU18" s="6">
        <f>IF(AND(C18&lt;=DATE(2025,10,7+6),D18&gt;=DATE(2025,10,1)),"█","")</f>
        <v>0</v>
      </c>
      <c r="AV18" s="6">
        <f>IF(AND(C18&lt;=DATE(2025,10,14+6),D18&gt;=DATE(2025,10,8)),"█","")</f>
        <v>0</v>
      </c>
      <c r="AW18" s="6">
        <f>IF(AND(C18&lt;=DATE(2025,10,21+6),D18&gt;=DATE(2025,10,15)),"█","")</f>
        <v>0</v>
      </c>
      <c r="AX18" s="6">
        <f>IF(AND(C18&lt;=DATE(2025,10,28+6),D18&gt;=DATE(2025,10,22)),"█","")</f>
        <v>0</v>
      </c>
      <c r="AY18" s="6">
        <f>IF(AND(C18&lt;=DATE(2025,11,4+6),D18&gt;=DATE(2025,10,29)),"█","")</f>
        <v>0</v>
      </c>
      <c r="AZ18" s="6">
        <f>IF(AND(C18&lt;=DATE(2025,11,11+6),D18&gt;=DATE(2025,11,5)),"█","")</f>
        <v>0</v>
      </c>
      <c r="BA18" s="6">
        <f>IF(AND(C18&lt;=DATE(2025,11,18+6),D18&gt;=DATE(2025,11,12)),"█","")</f>
        <v>0</v>
      </c>
      <c r="BB18" s="6">
        <f>IF(AND(C18&lt;=DATE(2025,11,25+6),D18&gt;=DATE(2025,11,19)),"█","")</f>
        <v>0</v>
      </c>
      <c r="BC18" s="6">
        <f>IF(AND(C18&lt;=DATE(2025,12,2+6),D18&gt;=DATE(2025,11,26)),"█","")</f>
        <v>0</v>
      </c>
      <c r="BD18" s="6">
        <f>IF(AND(C18&lt;=DATE(2025,12,9+6),D18&gt;=DATE(2025,12,3)),"█","")</f>
        <v>0</v>
      </c>
      <c r="BE18" s="6">
        <f>IF(AND(C18&lt;=DATE(2025,12,16+6),D18&gt;=DATE(2025,12,10)),"█","")</f>
        <v>0</v>
      </c>
      <c r="BF18" s="6">
        <f>IF(AND(C18&lt;=DATE(2025,12,23+6),D18&gt;=DATE(2025,12,17)),"█","")</f>
        <v>0</v>
      </c>
      <c r="BG18" s="6">
        <f>IF(AND(C18&lt;=DATE(2025,12,30+6),D18&gt;=DATE(2025,12,24)),"█","")</f>
        <v>0</v>
      </c>
    </row>
    <row r="19" spans="1:59">
      <c r="A19" s="5" t="s">
        <v>84</v>
      </c>
      <c r="B19" s="5" t="s">
        <v>85</v>
      </c>
      <c r="C19" s="5">
        <v>45717</v>
      </c>
      <c r="D19" s="5">
        <v>45747</v>
      </c>
      <c r="E19" s="5">
        <f>D19-C19+1</f>
        <v>0</v>
      </c>
      <c r="F19" s="5">
        <v>100</v>
      </c>
      <c r="H19" s="6">
        <f>IF(AND(C19&lt;=DATE(2025,1,7+6),D19&gt;=DATE(2025,1,1)),"█","")</f>
        <v>0</v>
      </c>
      <c r="I19" s="6">
        <f>IF(AND(C19&lt;=DATE(2025,1,14+6),D19&gt;=DATE(2025,1,8)),"█","")</f>
        <v>0</v>
      </c>
      <c r="J19" s="6">
        <f>IF(AND(C19&lt;=DATE(2025,1,21+6),D19&gt;=DATE(2025,1,15)),"█","")</f>
        <v>0</v>
      </c>
      <c r="K19" s="6">
        <f>IF(AND(C19&lt;=DATE(2025,1,28+6),D19&gt;=DATE(2025,1,22)),"█","")</f>
        <v>0</v>
      </c>
      <c r="L19" s="6">
        <f>IF(AND(C19&lt;=DATE(2025,2,4+6),D19&gt;=DATE(2025,1,29)),"█","")</f>
        <v>0</v>
      </c>
      <c r="M19" s="6">
        <f>IF(AND(C19&lt;=DATE(2025,2,11+6),D19&gt;=DATE(2025,2,5)),"█","")</f>
        <v>0</v>
      </c>
      <c r="N19" s="6">
        <f>IF(AND(C19&lt;=DATE(2025,2,18+6),D19&gt;=DATE(2025,2,12)),"█","")</f>
        <v>0</v>
      </c>
      <c r="O19" s="6">
        <f>IF(AND(C19&lt;=DATE(2025,2,25+6),D19&gt;=DATE(2025,2,19)),"█","")</f>
        <v>0</v>
      </c>
      <c r="P19" s="6">
        <f>IF(AND(C19&lt;=DATE(2025,3,4+6),D19&gt;=DATE(2025,2,26)),"█","")</f>
        <v>0</v>
      </c>
      <c r="Q19" s="6">
        <f>IF(AND(C19&lt;=DATE(2025,3,11+6),D19&gt;=DATE(2025,3,5)),"█","")</f>
        <v>0</v>
      </c>
      <c r="R19" s="6">
        <f>IF(AND(C19&lt;=DATE(2025,3,18+6),D19&gt;=DATE(2025,3,12)),"█","")</f>
        <v>0</v>
      </c>
      <c r="S19" s="6">
        <f>IF(AND(C19&lt;=DATE(2025,3,25+6),D19&gt;=DATE(2025,3,19)),"█","")</f>
        <v>0</v>
      </c>
      <c r="T19" s="6">
        <f>IF(AND(C19&lt;=DATE(2025,4,1+6),D19&gt;=DATE(2025,3,26)),"█","")</f>
        <v>0</v>
      </c>
      <c r="U19" s="6">
        <f>IF(AND(C19&lt;=DATE(2025,4,8+6),D19&gt;=DATE(2025,4,2)),"█","")</f>
        <v>0</v>
      </c>
      <c r="V19" s="6">
        <f>IF(AND(C19&lt;=DATE(2025,4,15+6),D19&gt;=DATE(2025,4,9)),"█","")</f>
        <v>0</v>
      </c>
      <c r="W19" s="6">
        <f>IF(AND(C19&lt;=DATE(2025,4,22+6),D19&gt;=DATE(2025,4,16)),"█","")</f>
        <v>0</v>
      </c>
      <c r="X19" s="6">
        <f>IF(AND(C19&lt;=DATE(2025,4,29+6),D19&gt;=DATE(2025,4,23)),"█","")</f>
        <v>0</v>
      </c>
      <c r="Y19" s="6">
        <f>IF(AND(C19&lt;=DATE(2025,5,6+6),D19&gt;=DATE(2025,4,30)),"█","")</f>
        <v>0</v>
      </c>
      <c r="Z19" s="6">
        <f>IF(AND(C19&lt;=DATE(2025,5,13+6),D19&gt;=DATE(2025,5,7)),"█","")</f>
        <v>0</v>
      </c>
      <c r="AA19" s="6">
        <f>IF(AND(C19&lt;=DATE(2025,5,20+6),D19&gt;=DATE(2025,5,14)),"█","")</f>
        <v>0</v>
      </c>
      <c r="AB19" s="6">
        <f>IF(AND(C19&lt;=DATE(2025,5,27+6),D19&gt;=DATE(2025,5,21)),"█","")</f>
        <v>0</v>
      </c>
      <c r="AC19" s="6">
        <f>IF(AND(C19&lt;=DATE(2025,6,3+6),D19&gt;=DATE(2025,5,28)),"█","")</f>
        <v>0</v>
      </c>
      <c r="AD19" s="6">
        <f>IF(AND(C19&lt;=DATE(2025,6,10+6),D19&gt;=DATE(2025,6,4)),"█","")</f>
        <v>0</v>
      </c>
      <c r="AE19" s="6">
        <f>IF(AND(C19&lt;=DATE(2025,6,17+6),D19&gt;=DATE(2025,6,11)),"█","")</f>
        <v>0</v>
      </c>
      <c r="AF19" s="6">
        <f>IF(AND(C19&lt;=DATE(2025,6,24+6),D19&gt;=DATE(2025,6,18)),"█","")</f>
        <v>0</v>
      </c>
      <c r="AG19" s="6">
        <f>IF(AND(C19&lt;=DATE(2025,7,1+6),D19&gt;=DATE(2025,6,25)),"█","")</f>
        <v>0</v>
      </c>
      <c r="AH19" s="6">
        <f>IF(AND(C19&lt;=DATE(2025,7,8+6),D19&gt;=DATE(2025,7,2)),"█","")</f>
        <v>0</v>
      </c>
      <c r="AI19" s="6">
        <f>IF(AND(C19&lt;=DATE(2025,7,15+6),D19&gt;=DATE(2025,7,9)),"█","")</f>
        <v>0</v>
      </c>
      <c r="AJ19" s="6">
        <f>IF(AND(C19&lt;=DATE(2025,7,22+6),D19&gt;=DATE(2025,7,16)),"█","")</f>
        <v>0</v>
      </c>
      <c r="AK19" s="6">
        <f>IF(AND(C19&lt;=DATE(2025,7,29+6),D19&gt;=DATE(2025,7,23)),"█","")</f>
        <v>0</v>
      </c>
      <c r="AL19" s="6">
        <f>IF(AND(C19&lt;=DATE(2025,8,5+6),D19&gt;=DATE(2025,7,30)),"█","")</f>
        <v>0</v>
      </c>
      <c r="AM19" s="6">
        <f>IF(AND(C19&lt;=DATE(2025,8,12+6),D19&gt;=DATE(2025,8,6)),"█","")</f>
        <v>0</v>
      </c>
      <c r="AN19" s="6">
        <f>IF(AND(C19&lt;=DATE(2025,8,19+6),D19&gt;=DATE(2025,8,13)),"█","")</f>
        <v>0</v>
      </c>
      <c r="AO19" s="6">
        <f>IF(AND(C19&lt;=DATE(2025,8,26+6),D19&gt;=DATE(2025,8,20)),"█","")</f>
        <v>0</v>
      </c>
      <c r="AP19" s="6">
        <f>IF(AND(C19&lt;=DATE(2025,9,2+6),D19&gt;=DATE(2025,8,27)),"█","")</f>
        <v>0</v>
      </c>
      <c r="AQ19" s="6">
        <f>IF(AND(C19&lt;=DATE(2025,9,9+6),D19&gt;=DATE(2025,9,3)),"█","")</f>
        <v>0</v>
      </c>
      <c r="AR19" s="6">
        <f>IF(AND(C19&lt;=DATE(2025,9,16+6),D19&gt;=DATE(2025,9,10)),"█","")</f>
        <v>0</v>
      </c>
      <c r="AS19" s="6">
        <f>IF(AND(C19&lt;=DATE(2025,9,23+6),D19&gt;=DATE(2025,9,17)),"█","")</f>
        <v>0</v>
      </c>
      <c r="AT19" s="6">
        <f>IF(AND(C19&lt;=DATE(2025,9,30+6),D19&gt;=DATE(2025,9,24)),"█","")</f>
        <v>0</v>
      </c>
      <c r="AU19" s="6">
        <f>IF(AND(C19&lt;=DATE(2025,10,7+6),D19&gt;=DATE(2025,10,1)),"█","")</f>
        <v>0</v>
      </c>
      <c r="AV19" s="6">
        <f>IF(AND(C19&lt;=DATE(2025,10,14+6),D19&gt;=DATE(2025,10,8)),"█","")</f>
        <v>0</v>
      </c>
      <c r="AW19" s="6">
        <f>IF(AND(C19&lt;=DATE(2025,10,21+6),D19&gt;=DATE(2025,10,15)),"█","")</f>
        <v>0</v>
      </c>
      <c r="AX19" s="6">
        <f>IF(AND(C19&lt;=DATE(2025,10,28+6),D19&gt;=DATE(2025,10,22)),"█","")</f>
        <v>0</v>
      </c>
      <c r="AY19" s="6">
        <f>IF(AND(C19&lt;=DATE(2025,11,4+6),D19&gt;=DATE(2025,10,29)),"█","")</f>
        <v>0</v>
      </c>
      <c r="AZ19" s="6">
        <f>IF(AND(C19&lt;=DATE(2025,11,11+6),D19&gt;=DATE(2025,11,5)),"█","")</f>
        <v>0</v>
      </c>
      <c r="BA19" s="6">
        <f>IF(AND(C19&lt;=DATE(2025,11,18+6),D19&gt;=DATE(2025,11,12)),"█","")</f>
        <v>0</v>
      </c>
      <c r="BB19" s="6">
        <f>IF(AND(C19&lt;=DATE(2025,11,25+6),D19&gt;=DATE(2025,11,19)),"█","")</f>
        <v>0</v>
      </c>
      <c r="BC19" s="6">
        <f>IF(AND(C19&lt;=DATE(2025,12,2+6),D19&gt;=DATE(2025,11,26)),"█","")</f>
        <v>0</v>
      </c>
      <c r="BD19" s="6">
        <f>IF(AND(C19&lt;=DATE(2025,12,9+6),D19&gt;=DATE(2025,12,3)),"█","")</f>
        <v>0</v>
      </c>
      <c r="BE19" s="6">
        <f>IF(AND(C19&lt;=DATE(2025,12,16+6),D19&gt;=DATE(2025,12,10)),"█","")</f>
        <v>0</v>
      </c>
      <c r="BF19" s="6">
        <f>IF(AND(C19&lt;=DATE(2025,12,23+6),D19&gt;=DATE(2025,12,17)),"█","")</f>
        <v>0</v>
      </c>
      <c r="BG19" s="6">
        <f>IF(AND(C19&lt;=DATE(2025,12,30+6),D19&gt;=DATE(2025,12,24)),"█","")</f>
        <v>0</v>
      </c>
    </row>
    <row r="20" spans="1:59">
      <c r="A20" s="5" t="s">
        <v>86</v>
      </c>
      <c r="B20" s="5" t="s">
        <v>87</v>
      </c>
      <c r="C20" s="5">
        <v>45748</v>
      </c>
      <c r="D20" s="5">
        <v>45777</v>
      </c>
      <c r="E20" s="5">
        <f>D20-C20+1</f>
        <v>0</v>
      </c>
      <c r="F20" s="5">
        <v>80</v>
      </c>
      <c r="H20" s="6">
        <f>IF(AND(C20&lt;=DATE(2025,1,7+6),D20&gt;=DATE(2025,1,1)),"█","")</f>
        <v>0</v>
      </c>
      <c r="I20" s="6">
        <f>IF(AND(C20&lt;=DATE(2025,1,14+6),D20&gt;=DATE(2025,1,8)),"█","")</f>
        <v>0</v>
      </c>
      <c r="J20" s="6">
        <f>IF(AND(C20&lt;=DATE(2025,1,21+6),D20&gt;=DATE(2025,1,15)),"█","")</f>
        <v>0</v>
      </c>
      <c r="K20" s="6">
        <f>IF(AND(C20&lt;=DATE(2025,1,28+6),D20&gt;=DATE(2025,1,22)),"█","")</f>
        <v>0</v>
      </c>
      <c r="L20" s="6">
        <f>IF(AND(C20&lt;=DATE(2025,2,4+6),D20&gt;=DATE(2025,1,29)),"█","")</f>
        <v>0</v>
      </c>
      <c r="M20" s="6">
        <f>IF(AND(C20&lt;=DATE(2025,2,11+6),D20&gt;=DATE(2025,2,5)),"█","")</f>
        <v>0</v>
      </c>
      <c r="N20" s="6">
        <f>IF(AND(C20&lt;=DATE(2025,2,18+6),D20&gt;=DATE(2025,2,12)),"█","")</f>
        <v>0</v>
      </c>
      <c r="O20" s="6">
        <f>IF(AND(C20&lt;=DATE(2025,2,25+6),D20&gt;=DATE(2025,2,19)),"█","")</f>
        <v>0</v>
      </c>
      <c r="P20" s="6">
        <f>IF(AND(C20&lt;=DATE(2025,3,4+6),D20&gt;=DATE(2025,2,26)),"█","")</f>
        <v>0</v>
      </c>
      <c r="Q20" s="6">
        <f>IF(AND(C20&lt;=DATE(2025,3,11+6),D20&gt;=DATE(2025,3,5)),"█","")</f>
        <v>0</v>
      </c>
      <c r="R20" s="6">
        <f>IF(AND(C20&lt;=DATE(2025,3,18+6),D20&gt;=DATE(2025,3,12)),"█","")</f>
        <v>0</v>
      </c>
      <c r="S20" s="6">
        <f>IF(AND(C20&lt;=DATE(2025,3,25+6),D20&gt;=DATE(2025,3,19)),"█","")</f>
        <v>0</v>
      </c>
      <c r="T20" s="6">
        <f>IF(AND(C20&lt;=DATE(2025,4,1+6),D20&gt;=DATE(2025,3,26)),"█","")</f>
        <v>0</v>
      </c>
      <c r="U20" s="6">
        <f>IF(AND(C20&lt;=DATE(2025,4,8+6),D20&gt;=DATE(2025,4,2)),"█","")</f>
        <v>0</v>
      </c>
      <c r="V20" s="6">
        <f>IF(AND(C20&lt;=DATE(2025,4,15+6),D20&gt;=DATE(2025,4,9)),"█","")</f>
        <v>0</v>
      </c>
      <c r="W20" s="6">
        <f>IF(AND(C20&lt;=DATE(2025,4,22+6),D20&gt;=DATE(2025,4,16)),"█","")</f>
        <v>0</v>
      </c>
      <c r="X20" s="6">
        <f>IF(AND(C20&lt;=DATE(2025,4,29+6),D20&gt;=DATE(2025,4,23)),"█","")</f>
        <v>0</v>
      </c>
      <c r="Y20" s="6">
        <f>IF(AND(C20&lt;=DATE(2025,5,6+6),D20&gt;=DATE(2025,4,30)),"█","")</f>
        <v>0</v>
      </c>
      <c r="Z20" s="6">
        <f>IF(AND(C20&lt;=DATE(2025,5,13+6),D20&gt;=DATE(2025,5,7)),"█","")</f>
        <v>0</v>
      </c>
      <c r="AA20" s="6">
        <f>IF(AND(C20&lt;=DATE(2025,5,20+6),D20&gt;=DATE(2025,5,14)),"█","")</f>
        <v>0</v>
      </c>
      <c r="AB20" s="6">
        <f>IF(AND(C20&lt;=DATE(2025,5,27+6),D20&gt;=DATE(2025,5,21)),"█","")</f>
        <v>0</v>
      </c>
      <c r="AC20" s="6">
        <f>IF(AND(C20&lt;=DATE(2025,6,3+6),D20&gt;=DATE(2025,5,28)),"█","")</f>
        <v>0</v>
      </c>
      <c r="AD20" s="6">
        <f>IF(AND(C20&lt;=DATE(2025,6,10+6),D20&gt;=DATE(2025,6,4)),"█","")</f>
        <v>0</v>
      </c>
      <c r="AE20" s="6">
        <f>IF(AND(C20&lt;=DATE(2025,6,17+6),D20&gt;=DATE(2025,6,11)),"█","")</f>
        <v>0</v>
      </c>
      <c r="AF20" s="6">
        <f>IF(AND(C20&lt;=DATE(2025,6,24+6),D20&gt;=DATE(2025,6,18)),"█","")</f>
        <v>0</v>
      </c>
      <c r="AG20" s="6">
        <f>IF(AND(C20&lt;=DATE(2025,7,1+6),D20&gt;=DATE(2025,6,25)),"█","")</f>
        <v>0</v>
      </c>
      <c r="AH20" s="6">
        <f>IF(AND(C20&lt;=DATE(2025,7,8+6),D20&gt;=DATE(2025,7,2)),"█","")</f>
        <v>0</v>
      </c>
      <c r="AI20" s="6">
        <f>IF(AND(C20&lt;=DATE(2025,7,15+6),D20&gt;=DATE(2025,7,9)),"█","")</f>
        <v>0</v>
      </c>
      <c r="AJ20" s="6">
        <f>IF(AND(C20&lt;=DATE(2025,7,22+6),D20&gt;=DATE(2025,7,16)),"█","")</f>
        <v>0</v>
      </c>
      <c r="AK20" s="6">
        <f>IF(AND(C20&lt;=DATE(2025,7,29+6),D20&gt;=DATE(2025,7,23)),"█","")</f>
        <v>0</v>
      </c>
      <c r="AL20" s="6">
        <f>IF(AND(C20&lt;=DATE(2025,8,5+6),D20&gt;=DATE(2025,7,30)),"█","")</f>
        <v>0</v>
      </c>
      <c r="AM20" s="6">
        <f>IF(AND(C20&lt;=DATE(2025,8,12+6),D20&gt;=DATE(2025,8,6)),"█","")</f>
        <v>0</v>
      </c>
      <c r="AN20" s="6">
        <f>IF(AND(C20&lt;=DATE(2025,8,19+6),D20&gt;=DATE(2025,8,13)),"█","")</f>
        <v>0</v>
      </c>
      <c r="AO20" s="6">
        <f>IF(AND(C20&lt;=DATE(2025,8,26+6),D20&gt;=DATE(2025,8,20)),"█","")</f>
        <v>0</v>
      </c>
      <c r="AP20" s="6">
        <f>IF(AND(C20&lt;=DATE(2025,9,2+6),D20&gt;=DATE(2025,8,27)),"█","")</f>
        <v>0</v>
      </c>
      <c r="AQ20" s="6">
        <f>IF(AND(C20&lt;=DATE(2025,9,9+6),D20&gt;=DATE(2025,9,3)),"█","")</f>
        <v>0</v>
      </c>
      <c r="AR20" s="6">
        <f>IF(AND(C20&lt;=DATE(2025,9,16+6),D20&gt;=DATE(2025,9,10)),"█","")</f>
        <v>0</v>
      </c>
      <c r="AS20" s="6">
        <f>IF(AND(C20&lt;=DATE(2025,9,23+6),D20&gt;=DATE(2025,9,17)),"█","")</f>
        <v>0</v>
      </c>
      <c r="AT20" s="6">
        <f>IF(AND(C20&lt;=DATE(2025,9,30+6),D20&gt;=DATE(2025,9,24)),"█","")</f>
        <v>0</v>
      </c>
      <c r="AU20" s="6">
        <f>IF(AND(C20&lt;=DATE(2025,10,7+6),D20&gt;=DATE(2025,10,1)),"█","")</f>
        <v>0</v>
      </c>
      <c r="AV20" s="6">
        <f>IF(AND(C20&lt;=DATE(2025,10,14+6),D20&gt;=DATE(2025,10,8)),"█","")</f>
        <v>0</v>
      </c>
      <c r="AW20" s="6">
        <f>IF(AND(C20&lt;=DATE(2025,10,21+6),D20&gt;=DATE(2025,10,15)),"█","")</f>
        <v>0</v>
      </c>
      <c r="AX20" s="6">
        <f>IF(AND(C20&lt;=DATE(2025,10,28+6),D20&gt;=DATE(2025,10,22)),"█","")</f>
        <v>0</v>
      </c>
      <c r="AY20" s="6">
        <f>IF(AND(C20&lt;=DATE(2025,11,4+6),D20&gt;=DATE(2025,10,29)),"█","")</f>
        <v>0</v>
      </c>
      <c r="AZ20" s="6">
        <f>IF(AND(C20&lt;=DATE(2025,11,11+6),D20&gt;=DATE(2025,11,5)),"█","")</f>
        <v>0</v>
      </c>
      <c r="BA20" s="6">
        <f>IF(AND(C20&lt;=DATE(2025,11,18+6),D20&gt;=DATE(2025,11,12)),"█","")</f>
        <v>0</v>
      </c>
      <c r="BB20" s="6">
        <f>IF(AND(C20&lt;=DATE(2025,11,25+6),D20&gt;=DATE(2025,11,19)),"█","")</f>
        <v>0</v>
      </c>
      <c r="BC20" s="6">
        <f>IF(AND(C20&lt;=DATE(2025,12,2+6),D20&gt;=DATE(2025,11,26)),"█","")</f>
        <v>0</v>
      </c>
      <c r="BD20" s="6">
        <f>IF(AND(C20&lt;=DATE(2025,12,9+6),D20&gt;=DATE(2025,12,3)),"█","")</f>
        <v>0</v>
      </c>
      <c r="BE20" s="6">
        <f>IF(AND(C20&lt;=DATE(2025,12,16+6),D20&gt;=DATE(2025,12,10)),"█","")</f>
        <v>0</v>
      </c>
      <c r="BF20" s="6">
        <f>IF(AND(C20&lt;=DATE(2025,12,23+6),D20&gt;=DATE(2025,12,17)),"█","")</f>
        <v>0</v>
      </c>
      <c r="BG20" s="6">
        <f>IF(AND(C20&lt;=DATE(2025,12,30+6),D20&gt;=DATE(2025,12,24)),"█","")</f>
        <v>0</v>
      </c>
    </row>
    <row r="21" spans="1:59">
      <c r="A21" s="5" t="s">
        <v>88</v>
      </c>
      <c r="B21" s="5" t="s">
        <v>89</v>
      </c>
      <c r="C21" s="5">
        <v>45778</v>
      </c>
      <c r="D21" s="5">
        <v>45808</v>
      </c>
      <c r="E21" s="5">
        <f>D21-C21+1</f>
        <v>0</v>
      </c>
      <c r="F21" s="5">
        <v>60</v>
      </c>
      <c r="H21" s="6">
        <f>IF(AND(C21&lt;=DATE(2025,1,7+6),D21&gt;=DATE(2025,1,1)),"█","")</f>
        <v>0</v>
      </c>
      <c r="I21" s="6">
        <f>IF(AND(C21&lt;=DATE(2025,1,14+6),D21&gt;=DATE(2025,1,8)),"█","")</f>
        <v>0</v>
      </c>
      <c r="J21" s="6">
        <f>IF(AND(C21&lt;=DATE(2025,1,21+6),D21&gt;=DATE(2025,1,15)),"█","")</f>
        <v>0</v>
      </c>
      <c r="K21" s="6">
        <f>IF(AND(C21&lt;=DATE(2025,1,28+6),D21&gt;=DATE(2025,1,22)),"█","")</f>
        <v>0</v>
      </c>
      <c r="L21" s="6">
        <f>IF(AND(C21&lt;=DATE(2025,2,4+6),D21&gt;=DATE(2025,1,29)),"█","")</f>
        <v>0</v>
      </c>
      <c r="M21" s="6">
        <f>IF(AND(C21&lt;=DATE(2025,2,11+6),D21&gt;=DATE(2025,2,5)),"█","")</f>
        <v>0</v>
      </c>
      <c r="N21" s="6">
        <f>IF(AND(C21&lt;=DATE(2025,2,18+6),D21&gt;=DATE(2025,2,12)),"█","")</f>
        <v>0</v>
      </c>
      <c r="O21" s="6">
        <f>IF(AND(C21&lt;=DATE(2025,2,25+6),D21&gt;=DATE(2025,2,19)),"█","")</f>
        <v>0</v>
      </c>
      <c r="P21" s="6">
        <f>IF(AND(C21&lt;=DATE(2025,3,4+6),D21&gt;=DATE(2025,2,26)),"█","")</f>
        <v>0</v>
      </c>
      <c r="Q21" s="6">
        <f>IF(AND(C21&lt;=DATE(2025,3,11+6),D21&gt;=DATE(2025,3,5)),"█","")</f>
        <v>0</v>
      </c>
      <c r="R21" s="6">
        <f>IF(AND(C21&lt;=DATE(2025,3,18+6),D21&gt;=DATE(2025,3,12)),"█","")</f>
        <v>0</v>
      </c>
      <c r="S21" s="6">
        <f>IF(AND(C21&lt;=DATE(2025,3,25+6),D21&gt;=DATE(2025,3,19)),"█","")</f>
        <v>0</v>
      </c>
      <c r="T21" s="6">
        <f>IF(AND(C21&lt;=DATE(2025,4,1+6),D21&gt;=DATE(2025,3,26)),"█","")</f>
        <v>0</v>
      </c>
      <c r="U21" s="6">
        <f>IF(AND(C21&lt;=DATE(2025,4,8+6),D21&gt;=DATE(2025,4,2)),"█","")</f>
        <v>0</v>
      </c>
      <c r="V21" s="6">
        <f>IF(AND(C21&lt;=DATE(2025,4,15+6),D21&gt;=DATE(2025,4,9)),"█","")</f>
        <v>0</v>
      </c>
      <c r="W21" s="6">
        <f>IF(AND(C21&lt;=DATE(2025,4,22+6),D21&gt;=DATE(2025,4,16)),"█","")</f>
        <v>0</v>
      </c>
      <c r="X21" s="6">
        <f>IF(AND(C21&lt;=DATE(2025,4,29+6),D21&gt;=DATE(2025,4,23)),"█","")</f>
        <v>0</v>
      </c>
      <c r="Y21" s="6">
        <f>IF(AND(C21&lt;=DATE(2025,5,6+6),D21&gt;=DATE(2025,4,30)),"█","")</f>
        <v>0</v>
      </c>
      <c r="Z21" s="6">
        <f>IF(AND(C21&lt;=DATE(2025,5,13+6),D21&gt;=DATE(2025,5,7)),"█","")</f>
        <v>0</v>
      </c>
      <c r="AA21" s="6">
        <f>IF(AND(C21&lt;=DATE(2025,5,20+6),D21&gt;=DATE(2025,5,14)),"█","")</f>
        <v>0</v>
      </c>
      <c r="AB21" s="6">
        <f>IF(AND(C21&lt;=DATE(2025,5,27+6),D21&gt;=DATE(2025,5,21)),"█","")</f>
        <v>0</v>
      </c>
      <c r="AC21" s="6">
        <f>IF(AND(C21&lt;=DATE(2025,6,3+6),D21&gt;=DATE(2025,5,28)),"█","")</f>
        <v>0</v>
      </c>
      <c r="AD21" s="6">
        <f>IF(AND(C21&lt;=DATE(2025,6,10+6),D21&gt;=DATE(2025,6,4)),"█","")</f>
        <v>0</v>
      </c>
      <c r="AE21" s="6">
        <f>IF(AND(C21&lt;=DATE(2025,6,17+6),D21&gt;=DATE(2025,6,11)),"█","")</f>
        <v>0</v>
      </c>
      <c r="AF21" s="6">
        <f>IF(AND(C21&lt;=DATE(2025,6,24+6),D21&gt;=DATE(2025,6,18)),"█","")</f>
        <v>0</v>
      </c>
      <c r="AG21" s="6">
        <f>IF(AND(C21&lt;=DATE(2025,7,1+6),D21&gt;=DATE(2025,6,25)),"█","")</f>
        <v>0</v>
      </c>
      <c r="AH21" s="6">
        <f>IF(AND(C21&lt;=DATE(2025,7,8+6),D21&gt;=DATE(2025,7,2)),"█","")</f>
        <v>0</v>
      </c>
      <c r="AI21" s="6">
        <f>IF(AND(C21&lt;=DATE(2025,7,15+6),D21&gt;=DATE(2025,7,9)),"█","")</f>
        <v>0</v>
      </c>
      <c r="AJ21" s="6">
        <f>IF(AND(C21&lt;=DATE(2025,7,22+6),D21&gt;=DATE(2025,7,16)),"█","")</f>
        <v>0</v>
      </c>
      <c r="AK21" s="6">
        <f>IF(AND(C21&lt;=DATE(2025,7,29+6),D21&gt;=DATE(2025,7,23)),"█","")</f>
        <v>0</v>
      </c>
      <c r="AL21" s="6">
        <f>IF(AND(C21&lt;=DATE(2025,8,5+6),D21&gt;=DATE(2025,7,30)),"█","")</f>
        <v>0</v>
      </c>
      <c r="AM21" s="6">
        <f>IF(AND(C21&lt;=DATE(2025,8,12+6),D21&gt;=DATE(2025,8,6)),"█","")</f>
        <v>0</v>
      </c>
      <c r="AN21" s="6">
        <f>IF(AND(C21&lt;=DATE(2025,8,19+6),D21&gt;=DATE(2025,8,13)),"█","")</f>
        <v>0</v>
      </c>
      <c r="AO21" s="6">
        <f>IF(AND(C21&lt;=DATE(2025,8,26+6),D21&gt;=DATE(2025,8,20)),"█","")</f>
        <v>0</v>
      </c>
      <c r="AP21" s="6">
        <f>IF(AND(C21&lt;=DATE(2025,9,2+6),D21&gt;=DATE(2025,8,27)),"█","")</f>
        <v>0</v>
      </c>
      <c r="AQ21" s="6">
        <f>IF(AND(C21&lt;=DATE(2025,9,9+6),D21&gt;=DATE(2025,9,3)),"█","")</f>
        <v>0</v>
      </c>
      <c r="AR21" s="6">
        <f>IF(AND(C21&lt;=DATE(2025,9,16+6),D21&gt;=DATE(2025,9,10)),"█","")</f>
        <v>0</v>
      </c>
      <c r="AS21" s="6">
        <f>IF(AND(C21&lt;=DATE(2025,9,23+6),D21&gt;=DATE(2025,9,17)),"█","")</f>
        <v>0</v>
      </c>
      <c r="AT21" s="6">
        <f>IF(AND(C21&lt;=DATE(2025,9,30+6),D21&gt;=DATE(2025,9,24)),"█","")</f>
        <v>0</v>
      </c>
      <c r="AU21" s="6">
        <f>IF(AND(C21&lt;=DATE(2025,10,7+6),D21&gt;=DATE(2025,10,1)),"█","")</f>
        <v>0</v>
      </c>
      <c r="AV21" s="6">
        <f>IF(AND(C21&lt;=DATE(2025,10,14+6),D21&gt;=DATE(2025,10,8)),"█","")</f>
        <v>0</v>
      </c>
      <c r="AW21" s="6">
        <f>IF(AND(C21&lt;=DATE(2025,10,21+6),D21&gt;=DATE(2025,10,15)),"█","")</f>
        <v>0</v>
      </c>
      <c r="AX21" s="6">
        <f>IF(AND(C21&lt;=DATE(2025,10,28+6),D21&gt;=DATE(2025,10,22)),"█","")</f>
        <v>0</v>
      </c>
      <c r="AY21" s="6">
        <f>IF(AND(C21&lt;=DATE(2025,11,4+6),D21&gt;=DATE(2025,10,29)),"█","")</f>
        <v>0</v>
      </c>
      <c r="AZ21" s="6">
        <f>IF(AND(C21&lt;=DATE(2025,11,11+6),D21&gt;=DATE(2025,11,5)),"█","")</f>
        <v>0</v>
      </c>
      <c r="BA21" s="6">
        <f>IF(AND(C21&lt;=DATE(2025,11,18+6),D21&gt;=DATE(2025,11,12)),"█","")</f>
        <v>0</v>
      </c>
      <c r="BB21" s="6">
        <f>IF(AND(C21&lt;=DATE(2025,11,25+6),D21&gt;=DATE(2025,11,19)),"█","")</f>
        <v>0</v>
      </c>
      <c r="BC21" s="6">
        <f>IF(AND(C21&lt;=DATE(2025,12,2+6),D21&gt;=DATE(2025,11,26)),"█","")</f>
        <v>0</v>
      </c>
      <c r="BD21" s="6">
        <f>IF(AND(C21&lt;=DATE(2025,12,9+6),D21&gt;=DATE(2025,12,3)),"█","")</f>
        <v>0</v>
      </c>
      <c r="BE21" s="6">
        <f>IF(AND(C21&lt;=DATE(2025,12,16+6),D21&gt;=DATE(2025,12,10)),"█","")</f>
        <v>0</v>
      </c>
      <c r="BF21" s="6">
        <f>IF(AND(C21&lt;=DATE(2025,12,23+6),D21&gt;=DATE(2025,12,17)),"█","")</f>
        <v>0</v>
      </c>
      <c r="BG21" s="6">
        <f>IF(AND(C21&lt;=DATE(2025,12,30+6),D21&gt;=DATE(2025,12,24)),"█","")</f>
        <v>0</v>
      </c>
    </row>
    <row r="22" spans="1:59">
      <c r="A22" s="5" t="s">
        <v>90</v>
      </c>
      <c r="B22" s="5" t="s">
        <v>91</v>
      </c>
      <c r="C22" s="5">
        <v>45809</v>
      </c>
      <c r="D22" s="5">
        <v>45823</v>
      </c>
      <c r="E22" s="5">
        <f>D22-C22+1</f>
        <v>0</v>
      </c>
      <c r="F22" s="5">
        <v>0</v>
      </c>
      <c r="H22" s="6">
        <f>IF(AND(C22&lt;=DATE(2025,1,7+6),D22&gt;=DATE(2025,1,1)),"█","")</f>
        <v>0</v>
      </c>
      <c r="I22" s="6">
        <f>IF(AND(C22&lt;=DATE(2025,1,14+6),D22&gt;=DATE(2025,1,8)),"█","")</f>
        <v>0</v>
      </c>
      <c r="J22" s="6">
        <f>IF(AND(C22&lt;=DATE(2025,1,21+6),D22&gt;=DATE(2025,1,15)),"█","")</f>
        <v>0</v>
      </c>
      <c r="K22" s="6">
        <f>IF(AND(C22&lt;=DATE(2025,1,28+6),D22&gt;=DATE(2025,1,22)),"█","")</f>
        <v>0</v>
      </c>
      <c r="L22" s="6">
        <f>IF(AND(C22&lt;=DATE(2025,2,4+6),D22&gt;=DATE(2025,1,29)),"█","")</f>
        <v>0</v>
      </c>
      <c r="M22" s="6">
        <f>IF(AND(C22&lt;=DATE(2025,2,11+6),D22&gt;=DATE(2025,2,5)),"█","")</f>
        <v>0</v>
      </c>
      <c r="N22" s="6">
        <f>IF(AND(C22&lt;=DATE(2025,2,18+6),D22&gt;=DATE(2025,2,12)),"█","")</f>
        <v>0</v>
      </c>
      <c r="O22" s="6">
        <f>IF(AND(C22&lt;=DATE(2025,2,25+6),D22&gt;=DATE(2025,2,19)),"█","")</f>
        <v>0</v>
      </c>
      <c r="P22" s="6">
        <f>IF(AND(C22&lt;=DATE(2025,3,4+6),D22&gt;=DATE(2025,2,26)),"█","")</f>
        <v>0</v>
      </c>
      <c r="Q22" s="6">
        <f>IF(AND(C22&lt;=DATE(2025,3,11+6),D22&gt;=DATE(2025,3,5)),"█","")</f>
        <v>0</v>
      </c>
      <c r="R22" s="6">
        <f>IF(AND(C22&lt;=DATE(2025,3,18+6),D22&gt;=DATE(2025,3,12)),"█","")</f>
        <v>0</v>
      </c>
      <c r="S22" s="6">
        <f>IF(AND(C22&lt;=DATE(2025,3,25+6),D22&gt;=DATE(2025,3,19)),"█","")</f>
        <v>0</v>
      </c>
      <c r="T22" s="6">
        <f>IF(AND(C22&lt;=DATE(2025,4,1+6),D22&gt;=DATE(2025,3,26)),"█","")</f>
        <v>0</v>
      </c>
      <c r="U22" s="6">
        <f>IF(AND(C22&lt;=DATE(2025,4,8+6),D22&gt;=DATE(2025,4,2)),"█","")</f>
        <v>0</v>
      </c>
      <c r="V22" s="6">
        <f>IF(AND(C22&lt;=DATE(2025,4,15+6),D22&gt;=DATE(2025,4,9)),"█","")</f>
        <v>0</v>
      </c>
      <c r="W22" s="6">
        <f>IF(AND(C22&lt;=DATE(2025,4,22+6),D22&gt;=DATE(2025,4,16)),"█","")</f>
        <v>0</v>
      </c>
      <c r="X22" s="6">
        <f>IF(AND(C22&lt;=DATE(2025,4,29+6),D22&gt;=DATE(2025,4,23)),"█","")</f>
        <v>0</v>
      </c>
      <c r="Y22" s="6">
        <f>IF(AND(C22&lt;=DATE(2025,5,6+6),D22&gt;=DATE(2025,4,30)),"█","")</f>
        <v>0</v>
      </c>
      <c r="Z22" s="6">
        <f>IF(AND(C22&lt;=DATE(2025,5,13+6),D22&gt;=DATE(2025,5,7)),"█","")</f>
        <v>0</v>
      </c>
      <c r="AA22" s="6">
        <f>IF(AND(C22&lt;=DATE(2025,5,20+6),D22&gt;=DATE(2025,5,14)),"█","")</f>
        <v>0</v>
      </c>
      <c r="AB22" s="6">
        <f>IF(AND(C22&lt;=DATE(2025,5,27+6),D22&gt;=DATE(2025,5,21)),"█","")</f>
        <v>0</v>
      </c>
      <c r="AC22" s="6">
        <f>IF(AND(C22&lt;=DATE(2025,6,3+6),D22&gt;=DATE(2025,5,28)),"█","")</f>
        <v>0</v>
      </c>
      <c r="AD22" s="6">
        <f>IF(AND(C22&lt;=DATE(2025,6,10+6),D22&gt;=DATE(2025,6,4)),"█","")</f>
        <v>0</v>
      </c>
      <c r="AE22" s="6">
        <f>IF(AND(C22&lt;=DATE(2025,6,17+6),D22&gt;=DATE(2025,6,11)),"█","")</f>
        <v>0</v>
      </c>
      <c r="AF22" s="6">
        <f>IF(AND(C22&lt;=DATE(2025,6,24+6),D22&gt;=DATE(2025,6,18)),"█","")</f>
        <v>0</v>
      </c>
      <c r="AG22" s="6">
        <f>IF(AND(C22&lt;=DATE(2025,7,1+6),D22&gt;=DATE(2025,6,25)),"█","")</f>
        <v>0</v>
      </c>
      <c r="AH22" s="6">
        <f>IF(AND(C22&lt;=DATE(2025,7,8+6),D22&gt;=DATE(2025,7,2)),"█","")</f>
        <v>0</v>
      </c>
      <c r="AI22" s="6">
        <f>IF(AND(C22&lt;=DATE(2025,7,15+6),D22&gt;=DATE(2025,7,9)),"█","")</f>
        <v>0</v>
      </c>
      <c r="AJ22" s="6">
        <f>IF(AND(C22&lt;=DATE(2025,7,22+6),D22&gt;=DATE(2025,7,16)),"█","")</f>
        <v>0</v>
      </c>
      <c r="AK22" s="6">
        <f>IF(AND(C22&lt;=DATE(2025,7,29+6),D22&gt;=DATE(2025,7,23)),"█","")</f>
        <v>0</v>
      </c>
      <c r="AL22" s="6">
        <f>IF(AND(C22&lt;=DATE(2025,8,5+6),D22&gt;=DATE(2025,7,30)),"█","")</f>
        <v>0</v>
      </c>
      <c r="AM22" s="6">
        <f>IF(AND(C22&lt;=DATE(2025,8,12+6),D22&gt;=DATE(2025,8,6)),"█","")</f>
        <v>0</v>
      </c>
      <c r="AN22" s="6">
        <f>IF(AND(C22&lt;=DATE(2025,8,19+6),D22&gt;=DATE(2025,8,13)),"█","")</f>
        <v>0</v>
      </c>
      <c r="AO22" s="6">
        <f>IF(AND(C22&lt;=DATE(2025,8,26+6),D22&gt;=DATE(2025,8,20)),"█","")</f>
        <v>0</v>
      </c>
      <c r="AP22" s="6">
        <f>IF(AND(C22&lt;=DATE(2025,9,2+6),D22&gt;=DATE(2025,8,27)),"█","")</f>
        <v>0</v>
      </c>
      <c r="AQ22" s="6">
        <f>IF(AND(C22&lt;=DATE(2025,9,9+6),D22&gt;=DATE(2025,9,3)),"█","")</f>
        <v>0</v>
      </c>
      <c r="AR22" s="6">
        <f>IF(AND(C22&lt;=DATE(2025,9,16+6),D22&gt;=DATE(2025,9,10)),"█","")</f>
        <v>0</v>
      </c>
      <c r="AS22" s="6">
        <f>IF(AND(C22&lt;=DATE(2025,9,23+6),D22&gt;=DATE(2025,9,17)),"█","")</f>
        <v>0</v>
      </c>
      <c r="AT22" s="6">
        <f>IF(AND(C22&lt;=DATE(2025,9,30+6),D22&gt;=DATE(2025,9,24)),"█","")</f>
        <v>0</v>
      </c>
      <c r="AU22" s="6">
        <f>IF(AND(C22&lt;=DATE(2025,10,7+6),D22&gt;=DATE(2025,10,1)),"█","")</f>
        <v>0</v>
      </c>
      <c r="AV22" s="6">
        <f>IF(AND(C22&lt;=DATE(2025,10,14+6),D22&gt;=DATE(2025,10,8)),"█","")</f>
        <v>0</v>
      </c>
      <c r="AW22" s="6">
        <f>IF(AND(C22&lt;=DATE(2025,10,21+6),D22&gt;=DATE(2025,10,15)),"█","")</f>
        <v>0</v>
      </c>
      <c r="AX22" s="6">
        <f>IF(AND(C22&lt;=DATE(2025,10,28+6),D22&gt;=DATE(2025,10,22)),"█","")</f>
        <v>0</v>
      </c>
      <c r="AY22" s="6">
        <f>IF(AND(C22&lt;=DATE(2025,11,4+6),D22&gt;=DATE(2025,10,29)),"█","")</f>
        <v>0</v>
      </c>
      <c r="AZ22" s="6">
        <f>IF(AND(C22&lt;=DATE(2025,11,11+6),D22&gt;=DATE(2025,11,5)),"█","")</f>
        <v>0</v>
      </c>
      <c r="BA22" s="6">
        <f>IF(AND(C22&lt;=DATE(2025,11,18+6),D22&gt;=DATE(2025,11,12)),"█","")</f>
        <v>0</v>
      </c>
      <c r="BB22" s="6">
        <f>IF(AND(C22&lt;=DATE(2025,11,25+6),D22&gt;=DATE(2025,11,19)),"█","")</f>
        <v>0</v>
      </c>
      <c r="BC22" s="6">
        <f>IF(AND(C22&lt;=DATE(2025,12,2+6),D22&gt;=DATE(2025,11,26)),"█","")</f>
        <v>0</v>
      </c>
      <c r="BD22" s="6">
        <f>IF(AND(C22&lt;=DATE(2025,12,9+6),D22&gt;=DATE(2025,12,3)),"█","")</f>
        <v>0</v>
      </c>
      <c r="BE22" s="6">
        <f>IF(AND(C22&lt;=DATE(2025,12,16+6),D22&gt;=DATE(2025,12,10)),"█","")</f>
        <v>0</v>
      </c>
      <c r="BF22" s="6">
        <f>IF(AND(C22&lt;=DATE(2025,12,23+6),D22&gt;=DATE(2025,12,17)),"█","")</f>
        <v>0</v>
      </c>
      <c r="BG22" s="6">
        <f>IF(AND(C22&lt;=DATE(2025,12,30+6),D22&gt;=DATE(2025,12,24)),"█","")</f>
        <v>0</v>
      </c>
    </row>
    <row r="23" spans="1:59">
      <c r="A23" s="5" t="s">
        <v>92</v>
      </c>
      <c r="B23" s="5" t="s">
        <v>93</v>
      </c>
      <c r="C23" s="5">
        <v>45824</v>
      </c>
      <c r="D23" s="5">
        <v>45833</v>
      </c>
      <c r="E23" s="5">
        <f>D23-C23+1</f>
        <v>0</v>
      </c>
      <c r="F23" s="5">
        <v>0</v>
      </c>
      <c r="H23" s="6">
        <f>IF(AND(C23&lt;=DATE(2025,1,7+6),D23&gt;=DATE(2025,1,1)),"█","")</f>
        <v>0</v>
      </c>
      <c r="I23" s="6">
        <f>IF(AND(C23&lt;=DATE(2025,1,14+6),D23&gt;=DATE(2025,1,8)),"█","")</f>
        <v>0</v>
      </c>
      <c r="J23" s="6">
        <f>IF(AND(C23&lt;=DATE(2025,1,21+6),D23&gt;=DATE(2025,1,15)),"█","")</f>
        <v>0</v>
      </c>
      <c r="K23" s="6">
        <f>IF(AND(C23&lt;=DATE(2025,1,28+6),D23&gt;=DATE(2025,1,22)),"█","")</f>
        <v>0</v>
      </c>
      <c r="L23" s="6">
        <f>IF(AND(C23&lt;=DATE(2025,2,4+6),D23&gt;=DATE(2025,1,29)),"█","")</f>
        <v>0</v>
      </c>
      <c r="M23" s="6">
        <f>IF(AND(C23&lt;=DATE(2025,2,11+6),D23&gt;=DATE(2025,2,5)),"█","")</f>
        <v>0</v>
      </c>
      <c r="N23" s="6">
        <f>IF(AND(C23&lt;=DATE(2025,2,18+6),D23&gt;=DATE(2025,2,12)),"█","")</f>
        <v>0</v>
      </c>
      <c r="O23" s="6">
        <f>IF(AND(C23&lt;=DATE(2025,2,25+6),D23&gt;=DATE(2025,2,19)),"█","")</f>
        <v>0</v>
      </c>
      <c r="P23" s="6">
        <f>IF(AND(C23&lt;=DATE(2025,3,4+6),D23&gt;=DATE(2025,2,26)),"█","")</f>
        <v>0</v>
      </c>
      <c r="Q23" s="6">
        <f>IF(AND(C23&lt;=DATE(2025,3,11+6),D23&gt;=DATE(2025,3,5)),"█","")</f>
        <v>0</v>
      </c>
      <c r="R23" s="6">
        <f>IF(AND(C23&lt;=DATE(2025,3,18+6),D23&gt;=DATE(2025,3,12)),"█","")</f>
        <v>0</v>
      </c>
      <c r="S23" s="6">
        <f>IF(AND(C23&lt;=DATE(2025,3,25+6),D23&gt;=DATE(2025,3,19)),"█","")</f>
        <v>0</v>
      </c>
      <c r="T23" s="6">
        <f>IF(AND(C23&lt;=DATE(2025,4,1+6),D23&gt;=DATE(2025,3,26)),"█","")</f>
        <v>0</v>
      </c>
      <c r="U23" s="6">
        <f>IF(AND(C23&lt;=DATE(2025,4,8+6),D23&gt;=DATE(2025,4,2)),"█","")</f>
        <v>0</v>
      </c>
      <c r="V23" s="6">
        <f>IF(AND(C23&lt;=DATE(2025,4,15+6),D23&gt;=DATE(2025,4,9)),"█","")</f>
        <v>0</v>
      </c>
      <c r="W23" s="6">
        <f>IF(AND(C23&lt;=DATE(2025,4,22+6),D23&gt;=DATE(2025,4,16)),"█","")</f>
        <v>0</v>
      </c>
      <c r="X23" s="6">
        <f>IF(AND(C23&lt;=DATE(2025,4,29+6),D23&gt;=DATE(2025,4,23)),"█","")</f>
        <v>0</v>
      </c>
      <c r="Y23" s="6">
        <f>IF(AND(C23&lt;=DATE(2025,5,6+6),D23&gt;=DATE(2025,4,30)),"█","")</f>
        <v>0</v>
      </c>
      <c r="Z23" s="6">
        <f>IF(AND(C23&lt;=DATE(2025,5,13+6),D23&gt;=DATE(2025,5,7)),"█","")</f>
        <v>0</v>
      </c>
      <c r="AA23" s="6">
        <f>IF(AND(C23&lt;=DATE(2025,5,20+6),D23&gt;=DATE(2025,5,14)),"█","")</f>
        <v>0</v>
      </c>
      <c r="AB23" s="6">
        <f>IF(AND(C23&lt;=DATE(2025,5,27+6),D23&gt;=DATE(2025,5,21)),"█","")</f>
        <v>0</v>
      </c>
      <c r="AC23" s="6">
        <f>IF(AND(C23&lt;=DATE(2025,6,3+6),D23&gt;=DATE(2025,5,28)),"█","")</f>
        <v>0</v>
      </c>
      <c r="AD23" s="6">
        <f>IF(AND(C23&lt;=DATE(2025,6,10+6),D23&gt;=DATE(2025,6,4)),"█","")</f>
        <v>0</v>
      </c>
      <c r="AE23" s="6">
        <f>IF(AND(C23&lt;=DATE(2025,6,17+6),D23&gt;=DATE(2025,6,11)),"█","")</f>
        <v>0</v>
      </c>
      <c r="AF23" s="6">
        <f>IF(AND(C23&lt;=DATE(2025,6,24+6),D23&gt;=DATE(2025,6,18)),"█","")</f>
        <v>0</v>
      </c>
      <c r="AG23" s="6">
        <f>IF(AND(C23&lt;=DATE(2025,7,1+6),D23&gt;=DATE(2025,6,25)),"█","")</f>
        <v>0</v>
      </c>
      <c r="AH23" s="6">
        <f>IF(AND(C23&lt;=DATE(2025,7,8+6),D23&gt;=DATE(2025,7,2)),"█","")</f>
        <v>0</v>
      </c>
      <c r="AI23" s="6">
        <f>IF(AND(C23&lt;=DATE(2025,7,15+6),D23&gt;=DATE(2025,7,9)),"█","")</f>
        <v>0</v>
      </c>
      <c r="AJ23" s="6">
        <f>IF(AND(C23&lt;=DATE(2025,7,22+6),D23&gt;=DATE(2025,7,16)),"█","")</f>
        <v>0</v>
      </c>
      <c r="AK23" s="6">
        <f>IF(AND(C23&lt;=DATE(2025,7,29+6),D23&gt;=DATE(2025,7,23)),"█","")</f>
        <v>0</v>
      </c>
      <c r="AL23" s="6">
        <f>IF(AND(C23&lt;=DATE(2025,8,5+6),D23&gt;=DATE(2025,7,30)),"█","")</f>
        <v>0</v>
      </c>
      <c r="AM23" s="6">
        <f>IF(AND(C23&lt;=DATE(2025,8,12+6),D23&gt;=DATE(2025,8,6)),"█","")</f>
        <v>0</v>
      </c>
      <c r="AN23" s="6">
        <f>IF(AND(C23&lt;=DATE(2025,8,19+6),D23&gt;=DATE(2025,8,13)),"█","")</f>
        <v>0</v>
      </c>
      <c r="AO23" s="6">
        <f>IF(AND(C23&lt;=DATE(2025,8,26+6),D23&gt;=DATE(2025,8,20)),"█","")</f>
        <v>0</v>
      </c>
      <c r="AP23" s="6">
        <f>IF(AND(C23&lt;=DATE(2025,9,2+6),D23&gt;=DATE(2025,8,27)),"█","")</f>
        <v>0</v>
      </c>
      <c r="AQ23" s="6">
        <f>IF(AND(C23&lt;=DATE(2025,9,9+6),D23&gt;=DATE(2025,9,3)),"█","")</f>
        <v>0</v>
      </c>
      <c r="AR23" s="6">
        <f>IF(AND(C23&lt;=DATE(2025,9,16+6),D23&gt;=DATE(2025,9,10)),"█","")</f>
        <v>0</v>
      </c>
      <c r="AS23" s="6">
        <f>IF(AND(C23&lt;=DATE(2025,9,23+6),D23&gt;=DATE(2025,9,17)),"█","")</f>
        <v>0</v>
      </c>
      <c r="AT23" s="6">
        <f>IF(AND(C23&lt;=DATE(2025,9,30+6),D23&gt;=DATE(2025,9,24)),"█","")</f>
        <v>0</v>
      </c>
      <c r="AU23" s="6">
        <f>IF(AND(C23&lt;=DATE(2025,10,7+6),D23&gt;=DATE(2025,10,1)),"█","")</f>
        <v>0</v>
      </c>
      <c r="AV23" s="6">
        <f>IF(AND(C23&lt;=DATE(2025,10,14+6),D23&gt;=DATE(2025,10,8)),"█","")</f>
        <v>0</v>
      </c>
      <c r="AW23" s="6">
        <f>IF(AND(C23&lt;=DATE(2025,10,21+6),D23&gt;=DATE(2025,10,15)),"█","")</f>
        <v>0</v>
      </c>
      <c r="AX23" s="6">
        <f>IF(AND(C23&lt;=DATE(2025,10,28+6),D23&gt;=DATE(2025,10,22)),"█","")</f>
        <v>0</v>
      </c>
      <c r="AY23" s="6">
        <f>IF(AND(C23&lt;=DATE(2025,11,4+6),D23&gt;=DATE(2025,10,29)),"█","")</f>
        <v>0</v>
      </c>
      <c r="AZ23" s="6">
        <f>IF(AND(C23&lt;=DATE(2025,11,11+6),D23&gt;=DATE(2025,11,5)),"█","")</f>
        <v>0</v>
      </c>
      <c r="BA23" s="6">
        <f>IF(AND(C23&lt;=DATE(2025,11,18+6),D23&gt;=DATE(2025,11,12)),"█","")</f>
        <v>0</v>
      </c>
      <c r="BB23" s="6">
        <f>IF(AND(C23&lt;=DATE(2025,11,25+6),D23&gt;=DATE(2025,11,19)),"█","")</f>
        <v>0</v>
      </c>
      <c r="BC23" s="6">
        <f>IF(AND(C23&lt;=DATE(2025,12,2+6),D23&gt;=DATE(2025,11,26)),"█","")</f>
        <v>0</v>
      </c>
      <c r="BD23" s="6">
        <f>IF(AND(C23&lt;=DATE(2025,12,9+6),D23&gt;=DATE(2025,12,3)),"█","")</f>
        <v>0</v>
      </c>
      <c r="BE23" s="6">
        <f>IF(AND(C23&lt;=DATE(2025,12,16+6),D23&gt;=DATE(2025,12,10)),"█","")</f>
        <v>0</v>
      </c>
      <c r="BF23" s="6">
        <f>IF(AND(C23&lt;=DATE(2025,12,23+6),D23&gt;=DATE(2025,12,17)),"█","")</f>
        <v>0</v>
      </c>
      <c r="BG23" s="6">
        <f>IF(AND(C23&lt;=DATE(2025,12,30+6),D23&gt;=DATE(2025,12,24)),"█","")</f>
        <v>0</v>
      </c>
    </row>
    <row r="24" spans="1:59">
      <c r="A24" s="5" t="s">
        <v>94</v>
      </c>
      <c r="B24" s="5" t="s">
        <v>95</v>
      </c>
      <c r="C24" s="5">
        <v>45834</v>
      </c>
      <c r="D24" s="5">
        <v>45838</v>
      </c>
      <c r="E24" s="5">
        <f>D24-C24+1</f>
        <v>0</v>
      </c>
      <c r="F24" s="5">
        <v>0</v>
      </c>
      <c r="H24" s="6">
        <f>IF(AND(C24&lt;=DATE(2025,1,7+6),D24&gt;=DATE(2025,1,1)),"█","")</f>
        <v>0</v>
      </c>
      <c r="I24" s="6">
        <f>IF(AND(C24&lt;=DATE(2025,1,14+6),D24&gt;=DATE(2025,1,8)),"█","")</f>
        <v>0</v>
      </c>
      <c r="J24" s="6">
        <f>IF(AND(C24&lt;=DATE(2025,1,21+6),D24&gt;=DATE(2025,1,15)),"█","")</f>
        <v>0</v>
      </c>
      <c r="K24" s="6">
        <f>IF(AND(C24&lt;=DATE(2025,1,28+6),D24&gt;=DATE(2025,1,22)),"█","")</f>
        <v>0</v>
      </c>
      <c r="L24" s="6">
        <f>IF(AND(C24&lt;=DATE(2025,2,4+6),D24&gt;=DATE(2025,1,29)),"█","")</f>
        <v>0</v>
      </c>
      <c r="M24" s="6">
        <f>IF(AND(C24&lt;=DATE(2025,2,11+6),D24&gt;=DATE(2025,2,5)),"█","")</f>
        <v>0</v>
      </c>
      <c r="N24" s="6">
        <f>IF(AND(C24&lt;=DATE(2025,2,18+6),D24&gt;=DATE(2025,2,12)),"█","")</f>
        <v>0</v>
      </c>
      <c r="O24" s="6">
        <f>IF(AND(C24&lt;=DATE(2025,2,25+6),D24&gt;=DATE(2025,2,19)),"█","")</f>
        <v>0</v>
      </c>
      <c r="P24" s="6">
        <f>IF(AND(C24&lt;=DATE(2025,3,4+6),D24&gt;=DATE(2025,2,26)),"█","")</f>
        <v>0</v>
      </c>
      <c r="Q24" s="6">
        <f>IF(AND(C24&lt;=DATE(2025,3,11+6),D24&gt;=DATE(2025,3,5)),"█","")</f>
        <v>0</v>
      </c>
      <c r="R24" s="6">
        <f>IF(AND(C24&lt;=DATE(2025,3,18+6),D24&gt;=DATE(2025,3,12)),"█","")</f>
        <v>0</v>
      </c>
      <c r="S24" s="6">
        <f>IF(AND(C24&lt;=DATE(2025,3,25+6),D24&gt;=DATE(2025,3,19)),"█","")</f>
        <v>0</v>
      </c>
      <c r="T24" s="6">
        <f>IF(AND(C24&lt;=DATE(2025,4,1+6),D24&gt;=DATE(2025,3,26)),"█","")</f>
        <v>0</v>
      </c>
      <c r="U24" s="6">
        <f>IF(AND(C24&lt;=DATE(2025,4,8+6),D24&gt;=DATE(2025,4,2)),"█","")</f>
        <v>0</v>
      </c>
      <c r="V24" s="6">
        <f>IF(AND(C24&lt;=DATE(2025,4,15+6),D24&gt;=DATE(2025,4,9)),"█","")</f>
        <v>0</v>
      </c>
      <c r="W24" s="6">
        <f>IF(AND(C24&lt;=DATE(2025,4,22+6),D24&gt;=DATE(2025,4,16)),"█","")</f>
        <v>0</v>
      </c>
      <c r="X24" s="6">
        <f>IF(AND(C24&lt;=DATE(2025,4,29+6),D24&gt;=DATE(2025,4,23)),"█","")</f>
        <v>0</v>
      </c>
      <c r="Y24" s="6">
        <f>IF(AND(C24&lt;=DATE(2025,5,6+6),D24&gt;=DATE(2025,4,30)),"█","")</f>
        <v>0</v>
      </c>
      <c r="Z24" s="6">
        <f>IF(AND(C24&lt;=DATE(2025,5,13+6),D24&gt;=DATE(2025,5,7)),"█","")</f>
        <v>0</v>
      </c>
      <c r="AA24" s="6">
        <f>IF(AND(C24&lt;=DATE(2025,5,20+6),D24&gt;=DATE(2025,5,14)),"█","")</f>
        <v>0</v>
      </c>
      <c r="AB24" s="6">
        <f>IF(AND(C24&lt;=DATE(2025,5,27+6),D24&gt;=DATE(2025,5,21)),"█","")</f>
        <v>0</v>
      </c>
      <c r="AC24" s="6">
        <f>IF(AND(C24&lt;=DATE(2025,6,3+6),D24&gt;=DATE(2025,5,28)),"█","")</f>
        <v>0</v>
      </c>
      <c r="AD24" s="6">
        <f>IF(AND(C24&lt;=DATE(2025,6,10+6),D24&gt;=DATE(2025,6,4)),"█","")</f>
        <v>0</v>
      </c>
      <c r="AE24" s="6">
        <f>IF(AND(C24&lt;=DATE(2025,6,17+6),D24&gt;=DATE(2025,6,11)),"█","")</f>
        <v>0</v>
      </c>
      <c r="AF24" s="6">
        <f>IF(AND(C24&lt;=DATE(2025,6,24+6),D24&gt;=DATE(2025,6,18)),"█","")</f>
        <v>0</v>
      </c>
      <c r="AG24" s="6">
        <f>IF(AND(C24&lt;=DATE(2025,7,1+6),D24&gt;=DATE(2025,6,25)),"█","")</f>
        <v>0</v>
      </c>
      <c r="AH24" s="6">
        <f>IF(AND(C24&lt;=DATE(2025,7,8+6),D24&gt;=DATE(2025,7,2)),"█","")</f>
        <v>0</v>
      </c>
      <c r="AI24" s="6">
        <f>IF(AND(C24&lt;=DATE(2025,7,15+6),D24&gt;=DATE(2025,7,9)),"█","")</f>
        <v>0</v>
      </c>
      <c r="AJ24" s="6">
        <f>IF(AND(C24&lt;=DATE(2025,7,22+6),D24&gt;=DATE(2025,7,16)),"█","")</f>
        <v>0</v>
      </c>
      <c r="AK24" s="6">
        <f>IF(AND(C24&lt;=DATE(2025,7,29+6),D24&gt;=DATE(2025,7,23)),"█","")</f>
        <v>0</v>
      </c>
      <c r="AL24" s="6">
        <f>IF(AND(C24&lt;=DATE(2025,8,5+6),D24&gt;=DATE(2025,7,30)),"█","")</f>
        <v>0</v>
      </c>
      <c r="AM24" s="6">
        <f>IF(AND(C24&lt;=DATE(2025,8,12+6),D24&gt;=DATE(2025,8,6)),"█","")</f>
        <v>0</v>
      </c>
      <c r="AN24" s="6">
        <f>IF(AND(C24&lt;=DATE(2025,8,19+6),D24&gt;=DATE(2025,8,13)),"█","")</f>
        <v>0</v>
      </c>
      <c r="AO24" s="6">
        <f>IF(AND(C24&lt;=DATE(2025,8,26+6),D24&gt;=DATE(2025,8,20)),"█","")</f>
        <v>0</v>
      </c>
      <c r="AP24" s="6">
        <f>IF(AND(C24&lt;=DATE(2025,9,2+6),D24&gt;=DATE(2025,8,27)),"█","")</f>
        <v>0</v>
      </c>
      <c r="AQ24" s="6">
        <f>IF(AND(C24&lt;=DATE(2025,9,9+6),D24&gt;=DATE(2025,9,3)),"█","")</f>
        <v>0</v>
      </c>
      <c r="AR24" s="6">
        <f>IF(AND(C24&lt;=DATE(2025,9,16+6),D24&gt;=DATE(2025,9,10)),"█","")</f>
        <v>0</v>
      </c>
      <c r="AS24" s="6">
        <f>IF(AND(C24&lt;=DATE(2025,9,23+6),D24&gt;=DATE(2025,9,17)),"█","")</f>
        <v>0</v>
      </c>
      <c r="AT24" s="6">
        <f>IF(AND(C24&lt;=DATE(2025,9,30+6),D24&gt;=DATE(2025,9,24)),"█","")</f>
        <v>0</v>
      </c>
      <c r="AU24" s="6">
        <f>IF(AND(C24&lt;=DATE(2025,10,7+6),D24&gt;=DATE(2025,10,1)),"█","")</f>
        <v>0</v>
      </c>
      <c r="AV24" s="6">
        <f>IF(AND(C24&lt;=DATE(2025,10,14+6),D24&gt;=DATE(2025,10,8)),"█","")</f>
        <v>0</v>
      </c>
      <c r="AW24" s="6">
        <f>IF(AND(C24&lt;=DATE(2025,10,21+6),D24&gt;=DATE(2025,10,15)),"█","")</f>
        <v>0</v>
      </c>
      <c r="AX24" s="6">
        <f>IF(AND(C24&lt;=DATE(2025,10,28+6),D24&gt;=DATE(2025,10,22)),"█","")</f>
        <v>0</v>
      </c>
      <c r="AY24" s="6">
        <f>IF(AND(C24&lt;=DATE(2025,11,4+6),D24&gt;=DATE(2025,10,29)),"█","")</f>
        <v>0</v>
      </c>
      <c r="AZ24" s="6">
        <f>IF(AND(C24&lt;=DATE(2025,11,11+6),D24&gt;=DATE(2025,11,5)),"█","")</f>
        <v>0</v>
      </c>
      <c r="BA24" s="6">
        <f>IF(AND(C24&lt;=DATE(2025,11,18+6),D24&gt;=DATE(2025,11,12)),"█","")</f>
        <v>0</v>
      </c>
      <c r="BB24" s="6">
        <f>IF(AND(C24&lt;=DATE(2025,11,25+6),D24&gt;=DATE(2025,11,19)),"█","")</f>
        <v>0</v>
      </c>
      <c r="BC24" s="6">
        <f>IF(AND(C24&lt;=DATE(2025,12,2+6),D24&gt;=DATE(2025,11,26)),"█","")</f>
        <v>0</v>
      </c>
      <c r="BD24" s="6">
        <f>IF(AND(C24&lt;=DATE(2025,12,9+6),D24&gt;=DATE(2025,12,3)),"█","")</f>
        <v>0</v>
      </c>
      <c r="BE24" s="6">
        <f>IF(AND(C24&lt;=DATE(2025,12,16+6),D24&gt;=DATE(2025,12,10)),"█","")</f>
        <v>0</v>
      </c>
      <c r="BF24" s="6">
        <f>IF(AND(C24&lt;=DATE(2025,12,23+6),D24&gt;=DATE(2025,12,17)),"█","")</f>
        <v>0</v>
      </c>
      <c r="BG24" s="6">
        <f>IF(AND(C24&lt;=DATE(2025,12,30+6),D24&gt;=DATE(2025,12,24)),"█","")</f>
        <v>0</v>
      </c>
    </row>
    <row r="26" spans="1:59">
      <c r="A26" s="4" t="s">
        <v>96</v>
      </c>
      <c r="B26" s="4" t="s">
        <v>97</v>
      </c>
      <c r="C26" s="5">
        <v>45748</v>
      </c>
      <c r="D26" s="5">
        <v>45838</v>
      </c>
      <c r="E26" s="5">
        <f>D27-C27+1</f>
        <v>0</v>
      </c>
      <c r="F26" s="5">
        <v>0</v>
      </c>
      <c r="H26" s="6">
        <f>IF(AND(C26&lt;=DATE(2025,1,7+6),D26&gt;=DATE(2025,1,1)),"█","")</f>
        <v>0</v>
      </c>
      <c r="I26" s="6">
        <f>IF(AND(C26&lt;=DATE(2025,1,14+6),D26&gt;=DATE(2025,1,8)),"█","")</f>
        <v>0</v>
      </c>
      <c r="J26" s="6">
        <f>IF(AND(C26&lt;=DATE(2025,1,21+6),D26&gt;=DATE(2025,1,15)),"█","")</f>
        <v>0</v>
      </c>
      <c r="K26" s="6">
        <f>IF(AND(C26&lt;=DATE(2025,1,28+6),D26&gt;=DATE(2025,1,22)),"█","")</f>
        <v>0</v>
      </c>
      <c r="L26" s="6">
        <f>IF(AND(C26&lt;=DATE(2025,2,4+6),D26&gt;=DATE(2025,1,29)),"█","")</f>
        <v>0</v>
      </c>
      <c r="M26" s="6">
        <f>IF(AND(C26&lt;=DATE(2025,2,11+6),D26&gt;=DATE(2025,2,5)),"█","")</f>
        <v>0</v>
      </c>
      <c r="N26" s="6">
        <f>IF(AND(C26&lt;=DATE(2025,2,18+6),D26&gt;=DATE(2025,2,12)),"█","")</f>
        <v>0</v>
      </c>
      <c r="O26" s="6">
        <f>IF(AND(C26&lt;=DATE(2025,2,25+6),D26&gt;=DATE(2025,2,19)),"█","")</f>
        <v>0</v>
      </c>
      <c r="P26" s="6">
        <f>IF(AND(C26&lt;=DATE(2025,3,4+6),D26&gt;=DATE(2025,2,26)),"█","")</f>
        <v>0</v>
      </c>
      <c r="Q26" s="6">
        <f>IF(AND(C26&lt;=DATE(2025,3,11+6),D26&gt;=DATE(2025,3,5)),"█","")</f>
        <v>0</v>
      </c>
      <c r="R26" s="6">
        <f>IF(AND(C26&lt;=DATE(2025,3,18+6),D26&gt;=DATE(2025,3,12)),"█","")</f>
        <v>0</v>
      </c>
      <c r="S26" s="6">
        <f>IF(AND(C26&lt;=DATE(2025,3,25+6),D26&gt;=DATE(2025,3,19)),"█","")</f>
        <v>0</v>
      </c>
      <c r="T26" s="6">
        <f>IF(AND(C26&lt;=DATE(2025,4,1+6),D26&gt;=DATE(2025,3,26)),"█","")</f>
        <v>0</v>
      </c>
      <c r="U26" s="6">
        <f>IF(AND(C26&lt;=DATE(2025,4,8+6),D26&gt;=DATE(2025,4,2)),"█","")</f>
        <v>0</v>
      </c>
      <c r="V26" s="6">
        <f>IF(AND(C26&lt;=DATE(2025,4,15+6),D26&gt;=DATE(2025,4,9)),"█","")</f>
        <v>0</v>
      </c>
      <c r="W26" s="6">
        <f>IF(AND(C26&lt;=DATE(2025,4,22+6),D26&gt;=DATE(2025,4,16)),"█","")</f>
        <v>0</v>
      </c>
      <c r="X26" s="6">
        <f>IF(AND(C26&lt;=DATE(2025,4,29+6),D26&gt;=DATE(2025,4,23)),"█","")</f>
        <v>0</v>
      </c>
      <c r="Y26" s="6">
        <f>IF(AND(C26&lt;=DATE(2025,5,6+6),D26&gt;=DATE(2025,4,30)),"█","")</f>
        <v>0</v>
      </c>
      <c r="Z26" s="6">
        <f>IF(AND(C26&lt;=DATE(2025,5,13+6),D26&gt;=DATE(2025,5,7)),"█","")</f>
        <v>0</v>
      </c>
      <c r="AA26" s="6">
        <f>IF(AND(C26&lt;=DATE(2025,5,20+6),D26&gt;=DATE(2025,5,14)),"█","")</f>
        <v>0</v>
      </c>
      <c r="AB26" s="6">
        <f>IF(AND(C26&lt;=DATE(2025,5,27+6),D26&gt;=DATE(2025,5,21)),"█","")</f>
        <v>0</v>
      </c>
      <c r="AC26" s="6">
        <f>IF(AND(C26&lt;=DATE(2025,6,3+6),D26&gt;=DATE(2025,5,28)),"█","")</f>
        <v>0</v>
      </c>
      <c r="AD26" s="6">
        <f>IF(AND(C26&lt;=DATE(2025,6,10+6),D26&gt;=DATE(2025,6,4)),"█","")</f>
        <v>0</v>
      </c>
      <c r="AE26" s="6">
        <f>IF(AND(C26&lt;=DATE(2025,6,17+6),D26&gt;=DATE(2025,6,11)),"█","")</f>
        <v>0</v>
      </c>
      <c r="AF26" s="6">
        <f>IF(AND(C26&lt;=DATE(2025,6,24+6),D26&gt;=DATE(2025,6,18)),"█","")</f>
        <v>0</v>
      </c>
      <c r="AG26" s="6">
        <f>IF(AND(C26&lt;=DATE(2025,7,1+6),D26&gt;=DATE(2025,6,25)),"█","")</f>
        <v>0</v>
      </c>
      <c r="AH26" s="6">
        <f>IF(AND(C26&lt;=DATE(2025,7,8+6),D26&gt;=DATE(2025,7,2)),"█","")</f>
        <v>0</v>
      </c>
      <c r="AI26" s="6">
        <f>IF(AND(C26&lt;=DATE(2025,7,15+6),D26&gt;=DATE(2025,7,9)),"█","")</f>
        <v>0</v>
      </c>
      <c r="AJ26" s="6">
        <f>IF(AND(C26&lt;=DATE(2025,7,22+6),D26&gt;=DATE(2025,7,16)),"█","")</f>
        <v>0</v>
      </c>
      <c r="AK26" s="6">
        <f>IF(AND(C26&lt;=DATE(2025,7,29+6),D26&gt;=DATE(2025,7,23)),"█","")</f>
        <v>0</v>
      </c>
      <c r="AL26" s="6">
        <f>IF(AND(C26&lt;=DATE(2025,8,5+6),D26&gt;=DATE(2025,7,30)),"█","")</f>
        <v>0</v>
      </c>
      <c r="AM26" s="6">
        <f>IF(AND(C26&lt;=DATE(2025,8,12+6),D26&gt;=DATE(2025,8,6)),"█","")</f>
        <v>0</v>
      </c>
      <c r="AN26" s="6">
        <f>IF(AND(C26&lt;=DATE(2025,8,19+6),D26&gt;=DATE(2025,8,13)),"█","")</f>
        <v>0</v>
      </c>
      <c r="AO26" s="6">
        <f>IF(AND(C26&lt;=DATE(2025,8,26+6),D26&gt;=DATE(2025,8,20)),"█","")</f>
        <v>0</v>
      </c>
      <c r="AP26" s="6">
        <f>IF(AND(C26&lt;=DATE(2025,9,2+6),D26&gt;=DATE(2025,8,27)),"█","")</f>
        <v>0</v>
      </c>
      <c r="AQ26" s="6">
        <f>IF(AND(C26&lt;=DATE(2025,9,9+6),D26&gt;=DATE(2025,9,3)),"█","")</f>
        <v>0</v>
      </c>
      <c r="AR26" s="6">
        <f>IF(AND(C26&lt;=DATE(2025,9,16+6),D26&gt;=DATE(2025,9,10)),"█","")</f>
        <v>0</v>
      </c>
      <c r="AS26" s="6">
        <f>IF(AND(C26&lt;=DATE(2025,9,23+6),D26&gt;=DATE(2025,9,17)),"█","")</f>
        <v>0</v>
      </c>
      <c r="AT26" s="6">
        <f>IF(AND(C26&lt;=DATE(2025,9,30+6),D26&gt;=DATE(2025,9,24)),"█","")</f>
        <v>0</v>
      </c>
      <c r="AU26" s="6">
        <f>IF(AND(C26&lt;=DATE(2025,10,7+6),D26&gt;=DATE(2025,10,1)),"█","")</f>
        <v>0</v>
      </c>
      <c r="AV26" s="6">
        <f>IF(AND(C26&lt;=DATE(2025,10,14+6),D26&gt;=DATE(2025,10,8)),"█","")</f>
        <v>0</v>
      </c>
      <c r="AW26" s="6">
        <f>IF(AND(C26&lt;=DATE(2025,10,21+6),D26&gt;=DATE(2025,10,15)),"█","")</f>
        <v>0</v>
      </c>
      <c r="AX26" s="6">
        <f>IF(AND(C26&lt;=DATE(2025,10,28+6),D26&gt;=DATE(2025,10,22)),"█","")</f>
        <v>0</v>
      </c>
      <c r="AY26" s="6">
        <f>IF(AND(C26&lt;=DATE(2025,11,4+6),D26&gt;=DATE(2025,10,29)),"█","")</f>
        <v>0</v>
      </c>
      <c r="AZ26" s="6">
        <f>IF(AND(C26&lt;=DATE(2025,11,11+6),D26&gt;=DATE(2025,11,5)),"█","")</f>
        <v>0</v>
      </c>
      <c r="BA26" s="6">
        <f>IF(AND(C26&lt;=DATE(2025,11,18+6),D26&gt;=DATE(2025,11,12)),"█","")</f>
        <v>0</v>
      </c>
      <c r="BB26" s="6">
        <f>IF(AND(C26&lt;=DATE(2025,11,25+6),D26&gt;=DATE(2025,11,19)),"█","")</f>
        <v>0</v>
      </c>
      <c r="BC26" s="6">
        <f>IF(AND(C26&lt;=DATE(2025,12,2+6),D26&gt;=DATE(2025,11,26)),"█","")</f>
        <v>0</v>
      </c>
      <c r="BD26" s="6">
        <f>IF(AND(C26&lt;=DATE(2025,12,9+6),D26&gt;=DATE(2025,12,3)),"█","")</f>
        <v>0</v>
      </c>
      <c r="BE26" s="6">
        <f>IF(AND(C26&lt;=DATE(2025,12,16+6),D26&gt;=DATE(2025,12,10)),"█","")</f>
        <v>0</v>
      </c>
      <c r="BF26" s="6">
        <f>IF(AND(C26&lt;=DATE(2025,12,23+6),D26&gt;=DATE(2025,12,17)),"█","")</f>
        <v>0</v>
      </c>
      <c r="BG26" s="6">
        <f>IF(AND(C26&lt;=DATE(2025,12,30+6),D26&gt;=DATE(2025,12,24)),"█","")</f>
        <v>0</v>
      </c>
    </row>
    <row r="27" spans="1:59">
      <c r="A27" s="5" t="s">
        <v>98</v>
      </c>
      <c r="B27" s="5" t="s">
        <v>99</v>
      </c>
      <c r="C27" s="5">
        <v>45748</v>
      </c>
      <c r="D27" s="5">
        <v>45777</v>
      </c>
      <c r="E27" s="5">
        <f>D28-C28+1</f>
        <v>0</v>
      </c>
      <c r="F27" s="5">
        <v>100</v>
      </c>
      <c r="H27" s="9">
        <f>IF(AND(C27&lt;=DATE(2025,1,7+6),D27&gt;=DATE(2025,1,1)),"█","")</f>
        <v>0</v>
      </c>
      <c r="I27" s="9">
        <f>IF(AND(C27&lt;=DATE(2025,1,14+6),D27&gt;=DATE(2025,1,8)),"█","")</f>
        <v>0</v>
      </c>
      <c r="J27" s="9">
        <f>IF(AND(C27&lt;=DATE(2025,1,21+6),D27&gt;=DATE(2025,1,15)),"█","")</f>
        <v>0</v>
      </c>
      <c r="K27" s="9">
        <f>IF(AND(C27&lt;=DATE(2025,1,28+6),D27&gt;=DATE(2025,1,22)),"█","")</f>
        <v>0</v>
      </c>
      <c r="L27" s="9">
        <f>IF(AND(C27&lt;=DATE(2025,2,4+6),D27&gt;=DATE(2025,1,29)),"█","")</f>
        <v>0</v>
      </c>
      <c r="M27" s="9">
        <f>IF(AND(C27&lt;=DATE(2025,2,11+6),D27&gt;=DATE(2025,2,5)),"█","")</f>
        <v>0</v>
      </c>
      <c r="N27" s="9">
        <f>IF(AND(C27&lt;=DATE(2025,2,18+6),D27&gt;=DATE(2025,2,12)),"█","")</f>
        <v>0</v>
      </c>
      <c r="O27" s="9">
        <f>IF(AND(C27&lt;=DATE(2025,2,25+6),D27&gt;=DATE(2025,2,19)),"█","")</f>
        <v>0</v>
      </c>
      <c r="P27" s="9">
        <f>IF(AND(C27&lt;=DATE(2025,3,4+6),D27&gt;=DATE(2025,2,26)),"█","")</f>
        <v>0</v>
      </c>
      <c r="Q27" s="9">
        <f>IF(AND(C27&lt;=DATE(2025,3,11+6),D27&gt;=DATE(2025,3,5)),"█","")</f>
        <v>0</v>
      </c>
      <c r="R27" s="9">
        <f>IF(AND(C27&lt;=DATE(2025,3,18+6),D27&gt;=DATE(2025,3,12)),"█","")</f>
        <v>0</v>
      </c>
      <c r="S27" s="9">
        <f>IF(AND(C27&lt;=DATE(2025,3,25+6),D27&gt;=DATE(2025,3,19)),"█","")</f>
        <v>0</v>
      </c>
      <c r="T27" s="9">
        <f>IF(AND(C27&lt;=DATE(2025,4,1+6),D27&gt;=DATE(2025,3,26)),"█","")</f>
        <v>0</v>
      </c>
      <c r="U27" s="9">
        <f>IF(AND(C27&lt;=DATE(2025,4,8+6),D27&gt;=DATE(2025,4,2)),"█","")</f>
        <v>0</v>
      </c>
      <c r="V27" s="9">
        <f>IF(AND(C27&lt;=DATE(2025,4,15+6),D27&gt;=DATE(2025,4,9)),"█","")</f>
        <v>0</v>
      </c>
      <c r="W27" s="9">
        <f>IF(AND(C27&lt;=DATE(2025,4,22+6),D27&gt;=DATE(2025,4,16)),"█","")</f>
        <v>0</v>
      </c>
      <c r="X27" s="9">
        <f>IF(AND(C27&lt;=DATE(2025,4,29+6),D27&gt;=DATE(2025,4,23)),"█","")</f>
        <v>0</v>
      </c>
      <c r="Y27" s="9">
        <f>IF(AND(C27&lt;=DATE(2025,5,6+6),D27&gt;=DATE(2025,4,30)),"█","")</f>
        <v>0</v>
      </c>
      <c r="Z27" s="9">
        <f>IF(AND(C27&lt;=DATE(2025,5,13+6),D27&gt;=DATE(2025,5,7)),"█","")</f>
        <v>0</v>
      </c>
      <c r="AA27" s="9">
        <f>IF(AND(C27&lt;=DATE(2025,5,20+6),D27&gt;=DATE(2025,5,14)),"█","")</f>
        <v>0</v>
      </c>
      <c r="AB27" s="9">
        <f>IF(AND(C27&lt;=DATE(2025,5,27+6),D27&gt;=DATE(2025,5,21)),"█","")</f>
        <v>0</v>
      </c>
      <c r="AC27" s="9">
        <f>IF(AND(C27&lt;=DATE(2025,6,3+6),D27&gt;=DATE(2025,5,28)),"█","")</f>
        <v>0</v>
      </c>
      <c r="AD27" s="9">
        <f>IF(AND(C27&lt;=DATE(2025,6,10+6),D27&gt;=DATE(2025,6,4)),"█","")</f>
        <v>0</v>
      </c>
      <c r="AE27" s="9">
        <f>IF(AND(C27&lt;=DATE(2025,6,17+6),D27&gt;=DATE(2025,6,11)),"█","")</f>
        <v>0</v>
      </c>
      <c r="AF27" s="9">
        <f>IF(AND(C27&lt;=DATE(2025,6,24+6),D27&gt;=DATE(2025,6,18)),"█","")</f>
        <v>0</v>
      </c>
      <c r="AG27" s="9">
        <f>IF(AND(C27&lt;=DATE(2025,7,1+6),D27&gt;=DATE(2025,6,25)),"█","")</f>
        <v>0</v>
      </c>
      <c r="AH27" s="9">
        <f>IF(AND(C27&lt;=DATE(2025,7,8+6),D27&gt;=DATE(2025,7,2)),"█","")</f>
        <v>0</v>
      </c>
      <c r="AI27" s="9">
        <f>IF(AND(C27&lt;=DATE(2025,7,15+6),D27&gt;=DATE(2025,7,9)),"█","")</f>
        <v>0</v>
      </c>
      <c r="AJ27" s="9">
        <f>IF(AND(C27&lt;=DATE(2025,7,22+6),D27&gt;=DATE(2025,7,16)),"█","")</f>
        <v>0</v>
      </c>
      <c r="AK27" s="9">
        <f>IF(AND(C27&lt;=DATE(2025,7,29+6),D27&gt;=DATE(2025,7,23)),"█","")</f>
        <v>0</v>
      </c>
      <c r="AL27" s="9">
        <f>IF(AND(C27&lt;=DATE(2025,8,5+6),D27&gt;=DATE(2025,7,30)),"█","")</f>
        <v>0</v>
      </c>
      <c r="AM27" s="9">
        <f>IF(AND(C27&lt;=DATE(2025,8,12+6),D27&gt;=DATE(2025,8,6)),"█","")</f>
        <v>0</v>
      </c>
      <c r="AN27" s="9">
        <f>IF(AND(C27&lt;=DATE(2025,8,19+6),D27&gt;=DATE(2025,8,13)),"█","")</f>
        <v>0</v>
      </c>
      <c r="AO27" s="9">
        <f>IF(AND(C27&lt;=DATE(2025,8,26+6),D27&gt;=DATE(2025,8,20)),"█","")</f>
        <v>0</v>
      </c>
      <c r="AP27" s="9">
        <f>IF(AND(C27&lt;=DATE(2025,9,2+6),D27&gt;=DATE(2025,8,27)),"█","")</f>
        <v>0</v>
      </c>
      <c r="AQ27" s="9">
        <f>IF(AND(C27&lt;=DATE(2025,9,9+6),D27&gt;=DATE(2025,9,3)),"█","")</f>
        <v>0</v>
      </c>
      <c r="AR27" s="9">
        <f>IF(AND(C27&lt;=DATE(2025,9,16+6),D27&gt;=DATE(2025,9,10)),"█","")</f>
        <v>0</v>
      </c>
      <c r="AS27" s="9">
        <f>IF(AND(C27&lt;=DATE(2025,9,23+6),D27&gt;=DATE(2025,9,17)),"█","")</f>
        <v>0</v>
      </c>
      <c r="AT27" s="9">
        <f>IF(AND(C27&lt;=DATE(2025,9,30+6),D27&gt;=DATE(2025,9,24)),"█","")</f>
        <v>0</v>
      </c>
      <c r="AU27" s="9">
        <f>IF(AND(C27&lt;=DATE(2025,10,7+6),D27&gt;=DATE(2025,10,1)),"█","")</f>
        <v>0</v>
      </c>
      <c r="AV27" s="9">
        <f>IF(AND(C27&lt;=DATE(2025,10,14+6),D27&gt;=DATE(2025,10,8)),"█","")</f>
        <v>0</v>
      </c>
      <c r="AW27" s="9">
        <f>IF(AND(C27&lt;=DATE(2025,10,21+6),D27&gt;=DATE(2025,10,15)),"█","")</f>
        <v>0</v>
      </c>
      <c r="AX27" s="9">
        <f>IF(AND(C27&lt;=DATE(2025,10,28+6),D27&gt;=DATE(2025,10,22)),"█","")</f>
        <v>0</v>
      </c>
      <c r="AY27" s="9">
        <f>IF(AND(C27&lt;=DATE(2025,11,4+6),D27&gt;=DATE(2025,10,29)),"█","")</f>
        <v>0</v>
      </c>
      <c r="AZ27" s="9">
        <f>IF(AND(C27&lt;=DATE(2025,11,11+6),D27&gt;=DATE(2025,11,5)),"█","")</f>
        <v>0</v>
      </c>
      <c r="BA27" s="9">
        <f>IF(AND(C27&lt;=DATE(2025,11,18+6),D27&gt;=DATE(2025,11,12)),"█","")</f>
        <v>0</v>
      </c>
      <c r="BB27" s="9">
        <f>IF(AND(C27&lt;=DATE(2025,11,25+6),D27&gt;=DATE(2025,11,19)),"█","")</f>
        <v>0</v>
      </c>
      <c r="BC27" s="9">
        <f>IF(AND(C27&lt;=DATE(2025,12,2+6),D27&gt;=DATE(2025,11,26)),"█","")</f>
        <v>0</v>
      </c>
      <c r="BD27" s="9">
        <f>IF(AND(C27&lt;=DATE(2025,12,9+6),D27&gt;=DATE(2025,12,3)),"█","")</f>
        <v>0</v>
      </c>
      <c r="BE27" s="9">
        <f>IF(AND(C27&lt;=DATE(2025,12,16+6),D27&gt;=DATE(2025,12,10)),"█","")</f>
        <v>0</v>
      </c>
      <c r="BF27" s="9">
        <f>IF(AND(C27&lt;=DATE(2025,12,23+6),D27&gt;=DATE(2025,12,17)),"█","")</f>
        <v>0</v>
      </c>
      <c r="BG27" s="9">
        <f>IF(AND(C27&lt;=DATE(2025,12,30+6),D27&gt;=DATE(2025,12,24)),"█","")</f>
        <v>0</v>
      </c>
    </row>
    <row r="28" spans="1:59">
      <c r="A28" s="5" t="s">
        <v>100</v>
      </c>
      <c r="B28" s="5" t="s">
        <v>101</v>
      </c>
      <c r="C28" s="5">
        <v>45778</v>
      </c>
      <c r="D28" s="5">
        <v>45808</v>
      </c>
      <c r="E28" s="5">
        <f>D29-C29+1</f>
        <v>0</v>
      </c>
      <c r="F28" s="5">
        <v>50</v>
      </c>
      <c r="H28" s="9">
        <f>IF(AND(C28&lt;=DATE(2025,1,7+6),D28&gt;=DATE(2025,1,1)),"█","")</f>
        <v>0</v>
      </c>
      <c r="I28" s="9">
        <f>IF(AND(C28&lt;=DATE(2025,1,14+6),D28&gt;=DATE(2025,1,8)),"█","")</f>
        <v>0</v>
      </c>
      <c r="J28" s="9">
        <f>IF(AND(C28&lt;=DATE(2025,1,21+6),D28&gt;=DATE(2025,1,15)),"█","")</f>
        <v>0</v>
      </c>
      <c r="K28" s="9">
        <f>IF(AND(C28&lt;=DATE(2025,1,28+6),D28&gt;=DATE(2025,1,22)),"█","")</f>
        <v>0</v>
      </c>
      <c r="L28" s="9">
        <f>IF(AND(C28&lt;=DATE(2025,2,4+6),D28&gt;=DATE(2025,1,29)),"█","")</f>
        <v>0</v>
      </c>
      <c r="M28" s="9">
        <f>IF(AND(C28&lt;=DATE(2025,2,11+6),D28&gt;=DATE(2025,2,5)),"█","")</f>
        <v>0</v>
      </c>
      <c r="N28" s="9">
        <f>IF(AND(C28&lt;=DATE(2025,2,18+6),D28&gt;=DATE(2025,2,12)),"█","")</f>
        <v>0</v>
      </c>
      <c r="O28" s="9">
        <f>IF(AND(C28&lt;=DATE(2025,2,25+6),D28&gt;=DATE(2025,2,19)),"█","")</f>
        <v>0</v>
      </c>
      <c r="P28" s="9">
        <f>IF(AND(C28&lt;=DATE(2025,3,4+6),D28&gt;=DATE(2025,2,26)),"█","")</f>
        <v>0</v>
      </c>
      <c r="Q28" s="9">
        <f>IF(AND(C28&lt;=DATE(2025,3,11+6),D28&gt;=DATE(2025,3,5)),"█","")</f>
        <v>0</v>
      </c>
      <c r="R28" s="9">
        <f>IF(AND(C28&lt;=DATE(2025,3,18+6),D28&gt;=DATE(2025,3,12)),"█","")</f>
        <v>0</v>
      </c>
      <c r="S28" s="9">
        <f>IF(AND(C28&lt;=DATE(2025,3,25+6),D28&gt;=DATE(2025,3,19)),"█","")</f>
        <v>0</v>
      </c>
      <c r="T28" s="9">
        <f>IF(AND(C28&lt;=DATE(2025,4,1+6),D28&gt;=DATE(2025,3,26)),"█","")</f>
        <v>0</v>
      </c>
      <c r="U28" s="9">
        <f>IF(AND(C28&lt;=DATE(2025,4,8+6),D28&gt;=DATE(2025,4,2)),"█","")</f>
        <v>0</v>
      </c>
      <c r="V28" s="9">
        <f>IF(AND(C28&lt;=DATE(2025,4,15+6),D28&gt;=DATE(2025,4,9)),"█","")</f>
        <v>0</v>
      </c>
      <c r="W28" s="9">
        <f>IF(AND(C28&lt;=DATE(2025,4,22+6),D28&gt;=DATE(2025,4,16)),"█","")</f>
        <v>0</v>
      </c>
      <c r="X28" s="9">
        <f>IF(AND(C28&lt;=DATE(2025,4,29+6),D28&gt;=DATE(2025,4,23)),"█","")</f>
        <v>0</v>
      </c>
      <c r="Y28" s="9">
        <f>IF(AND(C28&lt;=DATE(2025,5,6+6),D28&gt;=DATE(2025,4,30)),"█","")</f>
        <v>0</v>
      </c>
      <c r="Z28" s="9">
        <f>IF(AND(C28&lt;=DATE(2025,5,13+6),D28&gt;=DATE(2025,5,7)),"█","")</f>
        <v>0</v>
      </c>
      <c r="AA28" s="9">
        <f>IF(AND(C28&lt;=DATE(2025,5,20+6),D28&gt;=DATE(2025,5,14)),"█","")</f>
        <v>0</v>
      </c>
      <c r="AB28" s="9">
        <f>IF(AND(C28&lt;=DATE(2025,5,27+6),D28&gt;=DATE(2025,5,21)),"█","")</f>
        <v>0</v>
      </c>
      <c r="AC28" s="9">
        <f>IF(AND(C28&lt;=DATE(2025,6,3+6),D28&gt;=DATE(2025,5,28)),"█","")</f>
        <v>0</v>
      </c>
      <c r="AD28" s="9">
        <f>IF(AND(C28&lt;=DATE(2025,6,10+6),D28&gt;=DATE(2025,6,4)),"█","")</f>
        <v>0</v>
      </c>
      <c r="AE28" s="9">
        <f>IF(AND(C28&lt;=DATE(2025,6,17+6),D28&gt;=DATE(2025,6,11)),"█","")</f>
        <v>0</v>
      </c>
      <c r="AF28" s="9">
        <f>IF(AND(C28&lt;=DATE(2025,6,24+6),D28&gt;=DATE(2025,6,18)),"█","")</f>
        <v>0</v>
      </c>
      <c r="AG28" s="9">
        <f>IF(AND(C28&lt;=DATE(2025,7,1+6),D28&gt;=DATE(2025,6,25)),"█","")</f>
        <v>0</v>
      </c>
      <c r="AH28" s="9">
        <f>IF(AND(C28&lt;=DATE(2025,7,8+6),D28&gt;=DATE(2025,7,2)),"█","")</f>
        <v>0</v>
      </c>
      <c r="AI28" s="9">
        <f>IF(AND(C28&lt;=DATE(2025,7,15+6),D28&gt;=DATE(2025,7,9)),"█","")</f>
        <v>0</v>
      </c>
      <c r="AJ28" s="9">
        <f>IF(AND(C28&lt;=DATE(2025,7,22+6),D28&gt;=DATE(2025,7,16)),"█","")</f>
        <v>0</v>
      </c>
      <c r="AK28" s="9">
        <f>IF(AND(C28&lt;=DATE(2025,7,29+6),D28&gt;=DATE(2025,7,23)),"█","")</f>
        <v>0</v>
      </c>
      <c r="AL28" s="9">
        <f>IF(AND(C28&lt;=DATE(2025,8,5+6),D28&gt;=DATE(2025,7,30)),"█","")</f>
        <v>0</v>
      </c>
      <c r="AM28" s="9">
        <f>IF(AND(C28&lt;=DATE(2025,8,12+6),D28&gt;=DATE(2025,8,6)),"█","")</f>
        <v>0</v>
      </c>
      <c r="AN28" s="9">
        <f>IF(AND(C28&lt;=DATE(2025,8,19+6),D28&gt;=DATE(2025,8,13)),"█","")</f>
        <v>0</v>
      </c>
      <c r="AO28" s="9">
        <f>IF(AND(C28&lt;=DATE(2025,8,26+6),D28&gt;=DATE(2025,8,20)),"█","")</f>
        <v>0</v>
      </c>
      <c r="AP28" s="9">
        <f>IF(AND(C28&lt;=DATE(2025,9,2+6),D28&gt;=DATE(2025,8,27)),"█","")</f>
        <v>0</v>
      </c>
      <c r="AQ28" s="9">
        <f>IF(AND(C28&lt;=DATE(2025,9,9+6),D28&gt;=DATE(2025,9,3)),"█","")</f>
        <v>0</v>
      </c>
      <c r="AR28" s="9">
        <f>IF(AND(C28&lt;=DATE(2025,9,16+6),D28&gt;=DATE(2025,9,10)),"█","")</f>
        <v>0</v>
      </c>
      <c r="AS28" s="9">
        <f>IF(AND(C28&lt;=DATE(2025,9,23+6),D28&gt;=DATE(2025,9,17)),"█","")</f>
        <v>0</v>
      </c>
      <c r="AT28" s="9">
        <f>IF(AND(C28&lt;=DATE(2025,9,30+6),D28&gt;=DATE(2025,9,24)),"█","")</f>
        <v>0</v>
      </c>
      <c r="AU28" s="9">
        <f>IF(AND(C28&lt;=DATE(2025,10,7+6),D28&gt;=DATE(2025,10,1)),"█","")</f>
        <v>0</v>
      </c>
      <c r="AV28" s="9">
        <f>IF(AND(C28&lt;=DATE(2025,10,14+6),D28&gt;=DATE(2025,10,8)),"█","")</f>
        <v>0</v>
      </c>
      <c r="AW28" s="9">
        <f>IF(AND(C28&lt;=DATE(2025,10,21+6),D28&gt;=DATE(2025,10,15)),"█","")</f>
        <v>0</v>
      </c>
      <c r="AX28" s="9">
        <f>IF(AND(C28&lt;=DATE(2025,10,28+6),D28&gt;=DATE(2025,10,22)),"█","")</f>
        <v>0</v>
      </c>
      <c r="AY28" s="9">
        <f>IF(AND(C28&lt;=DATE(2025,11,4+6),D28&gt;=DATE(2025,10,29)),"█","")</f>
        <v>0</v>
      </c>
      <c r="AZ28" s="9">
        <f>IF(AND(C28&lt;=DATE(2025,11,11+6),D28&gt;=DATE(2025,11,5)),"█","")</f>
        <v>0</v>
      </c>
      <c r="BA28" s="9">
        <f>IF(AND(C28&lt;=DATE(2025,11,18+6),D28&gt;=DATE(2025,11,12)),"█","")</f>
        <v>0</v>
      </c>
      <c r="BB28" s="9">
        <f>IF(AND(C28&lt;=DATE(2025,11,25+6),D28&gt;=DATE(2025,11,19)),"█","")</f>
        <v>0</v>
      </c>
      <c r="BC28" s="9">
        <f>IF(AND(C28&lt;=DATE(2025,12,2+6),D28&gt;=DATE(2025,11,26)),"█","")</f>
        <v>0</v>
      </c>
      <c r="BD28" s="9">
        <f>IF(AND(C28&lt;=DATE(2025,12,9+6),D28&gt;=DATE(2025,12,3)),"█","")</f>
        <v>0</v>
      </c>
      <c r="BE28" s="9">
        <f>IF(AND(C28&lt;=DATE(2025,12,16+6),D28&gt;=DATE(2025,12,10)),"█","")</f>
        <v>0</v>
      </c>
      <c r="BF28" s="9">
        <f>IF(AND(C28&lt;=DATE(2025,12,23+6),D28&gt;=DATE(2025,12,17)),"█","")</f>
        <v>0</v>
      </c>
      <c r="BG28" s="9">
        <f>IF(AND(C28&lt;=DATE(2025,12,30+6),D28&gt;=DATE(2025,12,24)),"█","")</f>
        <v>0</v>
      </c>
    </row>
    <row r="29" spans="1:59">
      <c r="A29" s="5" t="s">
        <v>102</v>
      </c>
      <c r="B29" s="5" t="s">
        <v>103</v>
      </c>
      <c r="C29" s="5">
        <v>45809</v>
      </c>
      <c r="D29" s="5">
        <v>45838</v>
      </c>
      <c r="E29" s="5">
        <f>D30-C30+1</f>
        <v>0</v>
      </c>
      <c r="F29" s="5">
        <v>0</v>
      </c>
      <c r="H29" s="9">
        <f>IF(AND(C29&lt;=DATE(2025,1,7+6),D29&gt;=DATE(2025,1,1)),"█","")</f>
        <v>0</v>
      </c>
      <c r="I29" s="9">
        <f>IF(AND(C29&lt;=DATE(2025,1,14+6),D29&gt;=DATE(2025,1,8)),"█","")</f>
        <v>0</v>
      </c>
      <c r="J29" s="9">
        <f>IF(AND(C29&lt;=DATE(2025,1,21+6),D29&gt;=DATE(2025,1,15)),"█","")</f>
        <v>0</v>
      </c>
      <c r="K29" s="9">
        <f>IF(AND(C29&lt;=DATE(2025,1,28+6),D29&gt;=DATE(2025,1,22)),"█","")</f>
        <v>0</v>
      </c>
      <c r="L29" s="9">
        <f>IF(AND(C29&lt;=DATE(2025,2,4+6),D29&gt;=DATE(2025,1,29)),"█","")</f>
        <v>0</v>
      </c>
      <c r="M29" s="9">
        <f>IF(AND(C29&lt;=DATE(2025,2,11+6),D29&gt;=DATE(2025,2,5)),"█","")</f>
        <v>0</v>
      </c>
      <c r="N29" s="9">
        <f>IF(AND(C29&lt;=DATE(2025,2,18+6),D29&gt;=DATE(2025,2,12)),"█","")</f>
        <v>0</v>
      </c>
      <c r="O29" s="9">
        <f>IF(AND(C29&lt;=DATE(2025,2,25+6),D29&gt;=DATE(2025,2,19)),"█","")</f>
        <v>0</v>
      </c>
      <c r="P29" s="9">
        <f>IF(AND(C29&lt;=DATE(2025,3,4+6),D29&gt;=DATE(2025,2,26)),"█","")</f>
        <v>0</v>
      </c>
      <c r="Q29" s="9">
        <f>IF(AND(C29&lt;=DATE(2025,3,11+6),D29&gt;=DATE(2025,3,5)),"█","")</f>
        <v>0</v>
      </c>
      <c r="R29" s="9">
        <f>IF(AND(C29&lt;=DATE(2025,3,18+6),D29&gt;=DATE(2025,3,12)),"█","")</f>
        <v>0</v>
      </c>
      <c r="S29" s="9">
        <f>IF(AND(C29&lt;=DATE(2025,3,25+6),D29&gt;=DATE(2025,3,19)),"█","")</f>
        <v>0</v>
      </c>
      <c r="T29" s="9">
        <f>IF(AND(C29&lt;=DATE(2025,4,1+6),D29&gt;=DATE(2025,3,26)),"█","")</f>
        <v>0</v>
      </c>
      <c r="U29" s="9">
        <f>IF(AND(C29&lt;=DATE(2025,4,8+6),D29&gt;=DATE(2025,4,2)),"█","")</f>
        <v>0</v>
      </c>
      <c r="V29" s="9">
        <f>IF(AND(C29&lt;=DATE(2025,4,15+6),D29&gt;=DATE(2025,4,9)),"█","")</f>
        <v>0</v>
      </c>
      <c r="W29" s="9">
        <f>IF(AND(C29&lt;=DATE(2025,4,22+6),D29&gt;=DATE(2025,4,16)),"█","")</f>
        <v>0</v>
      </c>
      <c r="X29" s="9">
        <f>IF(AND(C29&lt;=DATE(2025,4,29+6),D29&gt;=DATE(2025,4,23)),"█","")</f>
        <v>0</v>
      </c>
      <c r="Y29" s="9">
        <f>IF(AND(C29&lt;=DATE(2025,5,6+6),D29&gt;=DATE(2025,4,30)),"█","")</f>
        <v>0</v>
      </c>
      <c r="Z29" s="9">
        <f>IF(AND(C29&lt;=DATE(2025,5,13+6),D29&gt;=DATE(2025,5,7)),"█","")</f>
        <v>0</v>
      </c>
      <c r="AA29" s="9">
        <f>IF(AND(C29&lt;=DATE(2025,5,20+6),D29&gt;=DATE(2025,5,14)),"█","")</f>
        <v>0</v>
      </c>
      <c r="AB29" s="9">
        <f>IF(AND(C29&lt;=DATE(2025,5,27+6),D29&gt;=DATE(2025,5,21)),"█","")</f>
        <v>0</v>
      </c>
      <c r="AC29" s="9">
        <f>IF(AND(C29&lt;=DATE(2025,6,3+6),D29&gt;=DATE(2025,5,28)),"█","")</f>
        <v>0</v>
      </c>
      <c r="AD29" s="9">
        <f>IF(AND(C29&lt;=DATE(2025,6,10+6),D29&gt;=DATE(2025,6,4)),"█","")</f>
        <v>0</v>
      </c>
      <c r="AE29" s="9">
        <f>IF(AND(C29&lt;=DATE(2025,6,17+6),D29&gt;=DATE(2025,6,11)),"█","")</f>
        <v>0</v>
      </c>
      <c r="AF29" s="9">
        <f>IF(AND(C29&lt;=DATE(2025,6,24+6),D29&gt;=DATE(2025,6,18)),"█","")</f>
        <v>0</v>
      </c>
      <c r="AG29" s="9">
        <f>IF(AND(C29&lt;=DATE(2025,7,1+6),D29&gt;=DATE(2025,6,25)),"█","")</f>
        <v>0</v>
      </c>
      <c r="AH29" s="9">
        <f>IF(AND(C29&lt;=DATE(2025,7,8+6),D29&gt;=DATE(2025,7,2)),"█","")</f>
        <v>0</v>
      </c>
      <c r="AI29" s="9">
        <f>IF(AND(C29&lt;=DATE(2025,7,15+6),D29&gt;=DATE(2025,7,9)),"█","")</f>
        <v>0</v>
      </c>
      <c r="AJ29" s="9">
        <f>IF(AND(C29&lt;=DATE(2025,7,22+6),D29&gt;=DATE(2025,7,16)),"█","")</f>
        <v>0</v>
      </c>
      <c r="AK29" s="9">
        <f>IF(AND(C29&lt;=DATE(2025,7,29+6),D29&gt;=DATE(2025,7,23)),"█","")</f>
        <v>0</v>
      </c>
      <c r="AL29" s="9">
        <f>IF(AND(C29&lt;=DATE(2025,8,5+6),D29&gt;=DATE(2025,7,30)),"█","")</f>
        <v>0</v>
      </c>
      <c r="AM29" s="9">
        <f>IF(AND(C29&lt;=DATE(2025,8,12+6),D29&gt;=DATE(2025,8,6)),"█","")</f>
        <v>0</v>
      </c>
      <c r="AN29" s="9">
        <f>IF(AND(C29&lt;=DATE(2025,8,19+6),D29&gt;=DATE(2025,8,13)),"█","")</f>
        <v>0</v>
      </c>
      <c r="AO29" s="9">
        <f>IF(AND(C29&lt;=DATE(2025,8,26+6),D29&gt;=DATE(2025,8,20)),"█","")</f>
        <v>0</v>
      </c>
      <c r="AP29" s="9">
        <f>IF(AND(C29&lt;=DATE(2025,9,2+6),D29&gt;=DATE(2025,8,27)),"█","")</f>
        <v>0</v>
      </c>
      <c r="AQ29" s="9">
        <f>IF(AND(C29&lt;=DATE(2025,9,9+6),D29&gt;=DATE(2025,9,3)),"█","")</f>
        <v>0</v>
      </c>
      <c r="AR29" s="9">
        <f>IF(AND(C29&lt;=DATE(2025,9,16+6),D29&gt;=DATE(2025,9,10)),"█","")</f>
        <v>0</v>
      </c>
      <c r="AS29" s="9">
        <f>IF(AND(C29&lt;=DATE(2025,9,23+6),D29&gt;=DATE(2025,9,17)),"█","")</f>
        <v>0</v>
      </c>
      <c r="AT29" s="9">
        <f>IF(AND(C29&lt;=DATE(2025,9,30+6),D29&gt;=DATE(2025,9,24)),"█","")</f>
        <v>0</v>
      </c>
      <c r="AU29" s="9">
        <f>IF(AND(C29&lt;=DATE(2025,10,7+6),D29&gt;=DATE(2025,10,1)),"█","")</f>
        <v>0</v>
      </c>
      <c r="AV29" s="9">
        <f>IF(AND(C29&lt;=DATE(2025,10,14+6),D29&gt;=DATE(2025,10,8)),"█","")</f>
        <v>0</v>
      </c>
      <c r="AW29" s="9">
        <f>IF(AND(C29&lt;=DATE(2025,10,21+6),D29&gt;=DATE(2025,10,15)),"█","")</f>
        <v>0</v>
      </c>
      <c r="AX29" s="9">
        <f>IF(AND(C29&lt;=DATE(2025,10,28+6),D29&gt;=DATE(2025,10,22)),"█","")</f>
        <v>0</v>
      </c>
      <c r="AY29" s="9">
        <f>IF(AND(C29&lt;=DATE(2025,11,4+6),D29&gt;=DATE(2025,10,29)),"█","")</f>
        <v>0</v>
      </c>
      <c r="AZ29" s="9">
        <f>IF(AND(C29&lt;=DATE(2025,11,11+6),D29&gt;=DATE(2025,11,5)),"█","")</f>
        <v>0</v>
      </c>
      <c r="BA29" s="9">
        <f>IF(AND(C29&lt;=DATE(2025,11,18+6),D29&gt;=DATE(2025,11,12)),"█","")</f>
        <v>0</v>
      </c>
      <c r="BB29" s="9">
        <f>IF(AND(C29&lt;=DATE(2025,11,25+6),D29&gt;=DATE(2025,11,19)),"█","")</f>
        <v>0</v>
      </c>
      <c r="BC29" s="9">
        <f>IF(AND(C29&lt;=DATE(2025,12,2+6),D29&gt;=DATE(2025,11,26)),"█","")</f>
        <v>0</v>
      </c>
      <c r="BD29" s="9">
        <f>IF(AND(C29&lt;=DATE(2025,12,9+6),D29&gt;=DATE(2025,12,3)),"█","")</f>
        <v>0</v>
      </c>
      <c r="BE29" s="9">
        <f>IF(AND(C29&lt;=DATE(2025,12,16+6),D29&gt;=DATE(2025,12,10)),"█","")</f>
        <v>0</v>
      </c>
      <c r="BF29" s="9">
        <f>IF(AND(C29&lt;=DATE(2025,12,23+6),D29&gt;=DATE(2025,12,17)),"█","")</f>
        <v>0</v>
      </c>
      <c r="BG29" s="9">
        <f>IF(AND(C29&lt;=DATE(2025,12,30+6),D29&gt;=DATE(2025,12,24)),"█","")</f>
        <v>0</v>
      </c>
    </row>
  </sheetData>
  <mergeCells count="2">
    <mergeCell ref="A1:H1"/>
    <mergeCell ref="H3:C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0" t="s">
        <v>104</v>
      </c>
      <c r="B1" s="10" t="s">
        <v>105</v>
      </c>
      <c r="C1" s="10" t="s">
        <v>106</v>
      </c>
    </row>
    <row r="2" spans="1:3">
      <c r="A2" t="s">
        <v>8</v>
      </c>
      <c r="B2" t="s">
        <v>107</v>
      </c>
      <c r="C2" t="s">
        <v>108</v>
      </c>
    </row>
    <row r="3" spans="1:3">
      <c r="A3" t="s">
        <v>9</v>
      </c>
      <c r="B3" t="s">
        <v>109</v>
      </c>
      <c r="C3" t="s">
        <v>110</v>
      </c>
    </row>
    <row r="4" spans="1:3">
      <c r="A4" t="s">
        <v>10</v>
      </c>
      <c r="B4" t="s">
        <v>111</v>
      </c>
      <c r="C4" t="s">
        <v>112</v>
      </c>
    </row>
    <row r="5" spans="1:3">
      <c r="A5" t="s">
        <v>11</v>
      </c>
      <c r="B5" t="s">
        <v>113</v>
      </c>
      <c r="C5" t="s">
        <v>114</v>
      </c>
    </row>
    <row r="6" spans="1:3">
      <c r="A6" t="s">
        <v>12</v>
      </c>
      <c r="B6" t="s">
        <v>115</v>
      </c>
      <c r="C6" t="s">
        <v>116</v>
      </c>
    </row>
    <row r="7" spans="1:3">
      <c r="A7" t="s">
        <v>13</v>
      </c>
      <c r="B7" t="s">
        <v>117</v>
      </c>
      <c r="C7" t="s">
        <v>118</v>
      </c>
    </row>
    <row r="8" spans="1:3">
      <c r="A8" t="s">
        <v>14</v>
      </c>
      <c r="B8" t="s">
        <v>119</v>
      </c>
      <c r="C8" t="s">
        <v>120</v>
      </c>
    </row>
    <row r="9" spans="1:3">
      <c r="A9" t="s">
        <v>15</v>
      </c>
      <c r="B9" t="s">
        <v>121</v>
      </c>
      <c r="C9" t="s">
        <v>122</v>
      </c>
    </row>
    <row r="10" spans="1:3">
      <c r="A10" t="s">
        <v>16</v>
      </c>
      <c r="B10" t="s">
        <v>123</v>
      </c>
      <c r="C10" t="s">
        <v>124</v>
      </c>
    </row>
    <row r="11" spans="1:3">
      <c r="A11" t="s">
        <v>17</v>
      </c>
      <c r="B11" t="s">
        <v>125</v>
      </c>
      <c r="C11" t="s">
        <v>126</v>
      </c>
    </row>
    <row r="12" spans="1:3">
      <c r="A12" t="s">
        <v>18</v>
      </c>
      <c r="B12" t="s">
        <v>127</v>
      </c>
      <c r="C12" t="s">
        <v>128</v>
      </c>
    </row>
    <row r="13" spans="1:3">
      <c r="A13" t="s">
        <v>19</v>
      </c>
      <c r="B13" t="s">
        <v>129</v>
      </c>
      <c r="C13" t="s">
        <v>130</v>
      </c>
    </row>
    <row r="14" spans="1:3">
      <c r="A14" t="s">
        <v>20</v>
      </c>
      <c r="B14" t="s">
        <v>131</v>
      </c>
      <c r="C14" t="s">
        <v>132</v>
      </c>
    </row>
    <row r="15" spans="1:3">
      <c r="A15" t="s">
        <v>21</v>
      </c>
      <c r="B15" t="s">
        <v>133</v>
      </c>
      <c r="C15" t="s">
        <v>134</v>
      </c>
    </row>
    <row r="16" spans="1:3">
      <c r="A16" t="s">
        <v>22</v>
      </c>
      <c r="B16" t="s">
        <v>135</v>
      </c>
      <c r="C16" t="s">
        <v>136</v>
      </c>
    </row>
    <row r="17" spans="1:3">
      <c r="A17" t="s">
        <v>23</v>
      </c>
      <c r="B17" t="s">
        <v>137</v>
      </c>
      <c r="C17" t="s">
        <v>138</v>
      </c>
    </row>
    <row r="18" spans="1:3">
      <c r="A18" t="s">
        <v>24</v>
      </c>
      <c r="B18" t="s">
        <v>139</v>
      </c>
      <c r="C18" t="s">
        <v>140</v>
      </c>
    </row>
    <row r="19" spans="1:3">
      <c r="A19" t="s">
        <v>25</v>
      </c>
      <c r="B19" t="s">
        <v>141</v>
      </c>
      <c r="C19" t="s">
        <v>142</v>
      </c>
    </row>
    <row r="20" spans="1:3">
      <c r="A20" t="s">
        <v>26</v>
      </c>
      <c r="B20" t="s">
        <v>143</v>
      </c>
      <c r="C20" t="s">
        <v>144</v>
      </c>
    </row>
    <row r="21" spans="1:3">
      <c r="A21" t="s">
        <v>27</v>
      </c>
      <c r="B21" t="s">
        <v>145</v>
      </c>
      <c r="C21" t="s">
        <v>146</v>
      </c>
    </row>
    <row r="22" spans="1:3">
      <c r="A22" t="s">
        <v>28</v>
      </c>
      <c r="B22" t="s">
        <v>147</v>
      </c>
      <c r="C22" t="s">
        <v>148</v>
      </c>
    </row>
    <row r="23" spans="1:3">
      <c r="A23" t="s">
        <v>29</v>
      </c>
      <c r="B23" t="s">
        <v>149</v>
      </c>
      <c r="C23" t="s">
        <v>150</v>
      </c>
    </row>
    <row r="24" spans="1:3">
      <c r="A24" t="s">
        <v>30</v>
      </c>
      <c r="B24" t="s">
        <v>151</v>
      </c>
      <c r="C24" t="s">
        <v>152</v>
      </c>
    </row>
    <row r="25" spans="1:3">
      <c r="A25" t="s">
        <v>31</v>
      </c>
      <c r="B25" t="s">
        <v>153</v>
      </c>
      <c r="C25" t="s">
        <v>154</v>
      </c>
    </row>
    <row r="26" spans="1:3">
      <c r="A26" t="s">
        <v>32</v>
      </c>
      <c r="B26" t="s">
        <v>155</v>
      </c>
      <c r="C26" t="s">
        <v>156</v>
      </c>
    </row>
    <row r="27" spans="1:3">
      <c r="A27" t="s">
        <v>33</v>
      </c>
      <c r="B27" t="s">
        <v>157</v>
      </c>
      <c r="C27" t="s">
        <v>158</v>
      </c>
    </row>
    <row r="28" spans="1:3">
      <c r="A28" t="s">
        <v>34</v>
      </c>
      <c r="B28" t="s">
        <v>159</v>
      </c>
      <c r="C28" t="s">
        <v>160</v>
      </c>
    </row>
    <row r="29" spans="1:3">
      <c r="A29" t="s">
        <v>35</v>
      </c>
      <c r="B29" t="s">
        <v>161</v>
      </c>
      <c r="C29" t="s">
        <v>162</v>
      </c>
    </row>
    <row r="30" spans="1:3">
      <c r="A30" t="s">
        <v>36</v>
      </c>
      <c r="B30" t="s">
        <v>163</v>
      </c>
      <c r="C30" t="s">
        <v>164</v>
      </c>
    </row>
    <row r="31" spans="1:3">
      <c r="A31" t="s">
        <v>37</v>
      </c>
      <c r="B31" t="s">
        <v>165</v>
      </c>
      <c r="C31" t="s">
        <v>166</v>
      </c>
    </row>
    <row r="32" spans="1:3">
      <c r="A32" t="s">
        <v>38</v>
      </c>
      <c r="B32" t="s">
        <v>167</v>
      </c>
      <c r="C32" t="s">
        <v>168</v>
      </c>
    </row>
    <row r="33" spans="1:3">
      <c r="A33" t="s">
        <v>39</v>
      </c>
      <c r="B33" t="s">
        <v>169</v>
      </c>
      <c r="C33" t="s">
        <v>170</v>
      </c>
    </row>
    <row r="34" spans="1:3">
      <c r="A34" t="s">
        <v>40</v>
      </c>
      <c r="B34" t="s">
        <v>171</v>
      </c>
      <c r="C34" t="s">
        <v>172</v>
      </c>
    </row>
    <row r="35" spans="1:3">
      <c r="A35" t="s">
        <v>41</v>
      </c>
      <c r="B35" t="s">
        <v>173</v>
      </c>
      <c r="C35" t="s">
        <v>174</v>
      </c>
    </row>
    <row r="36" spans="1:3">
      <c r="A36" t="s">
        <v>42</v>
      </c>
      <c r="B36" t="s">
        <v>175</v>
      </c>
      <c r="C36" t="s">
        <v>176</v>
      </c>
    </row>
    <row r="37" spans="1:3">
      <c r="A37" t="s">
        <v>43</v>
      </c>
      <c r="B37" t="s">
        <v>177</v>
      </c>
      <c r="C37" t="s">
        <v>178</v>
      </c>
    </row>
    <row r="38" spans="1:3">
      <c r="A38" t="s">
        <v>44</v>
      </c>
      <c r="B38" t="s">
        <v>179</v>
      </c>
      <c r="C38" t="s">
        <v>180</v>
      </c>
    </row>
    <row r="39" spans="1:3">
      <c r="A39" t="s">
        <v>45</v>
      </c>
      <c r="B39" t="s">
        <v>181</v>
      </c>
      <c r="C39" t="s">
        <v>182</v>
      </c>
    </row>
    <row r="40" spans="1:3">
      <c r="A40" t="s">
        <v>46</v>
      </c>
      <c r="B40" t="s">
        <v>183</v>
      </c>
      <c r="C40" t="s">
        <v>184</v>
      </c>
    </row>
    <row r="41" spans="1:3">
      <c r="A41" t="s">
        <v>47</v>
      </c>
      <c r="B41" t="s">
        <v>185</v>
      </c>
      <c r="C41" t="s">
        <v>186</v>
      </c>
    </row>
    <row r="42" spans="1:3">
      <c r="A42" t="s">
        <v>48</v>
      </c>
      <c r="B42" t="s">
        <v>187</v>
      </c>
      <c r="C42" t="s">
        <v>188</v>
      </c>
    </row>
    <row r="43" spans="1:3">
      <c r="A43" t="s">
        <v>49</v>
      </c>
      <c r="B43" t="s">
        <v>189</v>
      </c>
      <c r="C43" t="s">
        <v>190</v>
      </c>
    </row>
    <row r="44" spans="1:3">
      <c r="A44" t="s">
        <v>50</v>
      </c>
      <c r="B44" t="s">
        <v>191</v>
      </c>
      <c r="C44" t="s">
        <v>192</v>
      </c>
    </row>
    <row r="45" spans="1:3">
      <c r="A45" t="s">
        <v>51</v>
      </c>
      <c r="B45" t="s">
        <v>193</v>
      </c>
      <c r="C45" t="s">
        <v>194</v>
      </c>
    </row>
    <row r="46" spans="1:3">
      <c r="A46" t="s">
        <v>52</v>
      </c>
      <c r="B46" t="s">
        <v>195</v>
      </c>
      <c r="C46" t="s">
        <v>196</v>
      </c>
    </row>
    <row r="47" spans="1:3">
      <c r="A47" t="s">
        <v>53</v>
      </c>
      <c r="B47" t="s">
        <v>197</v>
      </c>
      <c r="C47" t="s">
        <v>198</v>
      </c>
    </row>
    <row r="48" spans="1:3">
      <c r="A48" t="s">
        <v>54</v>
      </c>
      <c r="B48" t="s">
        <v>199</v>
      </c>
      <c r="C48" t="s">
        <v>200</v>
      </c>
    </row>
    <row r="49" spans="1:3">
      <c r="A49" t="s">
        <v>55</v>
      </c>
      <c r="B49" t="s">
        <v>201</v>
      </c>
      <c r="C49" t="s">
        <v>202</v>
      </c>
    </row>
    <row r="50" spans="1:3">
      <c r="A50" t="s">
        <v>56</v>
      </c>
      <c r="B50" t="s">
        <v>203</v>
      </c>
      <c r="C50" t="s">
        <v>204</v>
      </c>
    </row>
    <row r="51" spans="1:3">
      <c r="A51" t="s">
        <v>57</v>
      </c>
      <c r="B51" t="s">
        <v>205</v>
      </c>
      <c r="C51" t="s">
        <v>206</v>
      </c>
    </row>
    <row r="52" spans="1:3">
      <c r="A52" t="s">
        <v>58</v>
      </c>
      <c r="B52" t="s">
        <v>207</v>
      </c>
      <c r="C52" t="s">
        <v>208</v>
      </c>
    </row>
    <row r="53" spans="1:3">
      <c r="A53" t="s">
        <v>59</v>
      </c>
      <c r="B53" t="s">
        <v>209</v>
      </c>
      <c r="C5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2026-03-06T08:15:07Z</dcterms:created>
  <dcterms:modified xsi:type="dcterms:W3CDTF">2026-03-06T08:15:07Z</dcterms:modified>
</cp:coreProperties>
</file>